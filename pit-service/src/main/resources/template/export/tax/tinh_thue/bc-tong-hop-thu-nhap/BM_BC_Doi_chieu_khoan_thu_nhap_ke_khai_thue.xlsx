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EE28A35C-7B74-4E2F-A15B-1537730D4BA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BM bao cao" sheetId="113" r:id="rId1"/>
    <sheet name="Ke khai thang 03.2024" sheetId="112" state="hidden" r:id="rId2"/>
    <sheet name="Ke khai thang 02.2024" sheetId="111" state="hidden" r:id="rId3"/>
    <sheet name="Ke khai thang 01.2024" sheetId="110" state="hidden" r:id="rId4"/>
    <sheet name="TH doi chieu T10.02" sheetId="107" state="hidden" r:id="rId5"/>
    <sheet name="TH doi chieu T09.02" sheetId="105" state="hidden" r:id="rId6"/>
    <sheet name="TH doi chieu T08.02" sheetId="103" state="hidden" r:id="rId7"/>
    <sheet name="TH doi chieu T07.02" sheetId="101" state="hidden" r:id="rId8"/>
    <sheet name="TH doi chieu T06.02" sheetId="99" state="hidden" r:id="rId9"/>
    <sheet name="TH doi chieu T05.02" sheetId="97" state="hidden" r:id="rId10"/>
    <sheet name="TH doi chieu T04.02" sheetId="95" state="hidden" r:id="rId11"/>
    <sheet name="TH doi chieu T03.02" sheetId="93" state="hidden" r:id="rId12"/>
    <sheet name="TH doi chieu T02.02" sheetId="91" state="hidden" r:id="rId13"/>
    <sheet name="TH doi chieu T01.02" sheetId="65" state="hidden" r:id="rId14"/>
  </sheets>
  <definedNames>
    <definedName name="_xlnm._FilterDatabase" localSheetId="0" hidden="1">'BM bao cao'!$A$8:$X$13</definedName>
    <definedName name="_xlnm._FilterDatabase" localSheetId="3" hidden="1">'Ke khai thang 01.2024'!$A$8:$X$25</definedName>
    <definedName name="_xlnm._FilterDatabase" localSheetId="2" hidden="1">'Ke khai thang 02.2024'!$A$8:$X$28</definedName>
    <definedName name="_xlnm._FilterDatabase" localSheetId="1" hidden="1">'Ke khai thang 03.2024'!$A$8:$X$24</definedName>
    <definedName name="_xlnm._FilterDatabase" localSheetId="13" hidden="1">'TH doi chieu T01.02'!$A$7:$M$24</definedName>
    <definedName name="_xlnm._FilterDatabase" localSheetId="12" hidden="1">'TH doi chieu T02.02'!$A$7:$M$19</definedName>
    <definedName name="_xlnm._FilterDatabase" localSheetId="11" hidden="1">'TH doi chieu T03.02'!$A$7:$M$23</definedName>
    <definedName name="_xlnm._FilterDatabase" localSheetId="10" hidden="1">'TH doi chieu T04.02'!$A$7:$M$22</definedName>
    <definedName name="_xlnm._FilterDatabase" localSheetId="9" hidden="1">'TH doi chieu T05.02'!$A$7:$M$19</definedName>
    <definedName name="_xlnm._FilterDatabase" localSheetId="8" hidden="1">'TH doi chieu T06.02'!$A$7:$M$22</definedName>
    <definedName name="_xlnm._FilterDatabase" localSheetId="7" hidden="1">'TH doi chieu T07.02'!$A$7:$M$21</definedName>
    <definedName name="_xlnm._FilterDatabase" localSheetId="6" hidden="1">'TH doi chieu T08.02'!$A$7:$M$21</definedName>
    <definedName name="_xlnm._FilterDatabase" localSheetId="5" hidden="1">'TH doi chieu T09.02'!$A$7:$M$21</definedName>
    <definedName name="_xlnm._FilterDatabase" localSheetId="4" hidden="1">'TH doi chieu T10.02'!$A$7:$M$21</definedName>
    <definedName name="_xlnm.Print_Area" localSheetId="0">'BM bao cao'!$A$1:$W$13</definedName>
    <definedName name="_xlnm.Print_Area" localSheetId="3">'Ke khai thang 01.2024'!$A$1:$W$25</definedName>
    <definedName name="_xlnm.Print_Area" localSheetId="2">'Ke khai thang 02.2024'!$A$1:$W$28</definedName>
    <definedName name="_xlnm.Print_Area" localSheetId="1">'Ke khai thang 03.2024'!$A$1:$W$24</definedName>
    <definedName name="_xlnm.Print_Area" localSheetId="13">'TH doi chieu T01.02'!$A$1:$L$27</definedName>
    <definedName name="_xlnm.Print_Area" localSheetId="12">'TH doi chieu T02.02'!$A$1:$L$22</definedName>
    <definedName name="_xlnm.Print_Area" localSheetId="11">'TH doi chieu T03.02'!$A$1:$L$26</definedName>
    <definedName name="_xlnm.Print_Area" localSheetId="10">'TH doi chieu T04.02'!$A$1:$L$25</definedName>
    <definedName name="_xlnm.Print_Area" localSheetId="9">'TH doi chieu T05.02'!$A$1:$L$22</definedName>
    <definedName name="_xlnm.Print_Area" localSheetId="8">'TH doi chieu T06.02'!$A$1:$L$25</definedName>
    <definedName name="_xlnm.Print_Area" localSheetId="7">'TH doi chieu T07.02'!$A$1:$L$24</definedName>
    <definedName name="_xlnm.Print_Area" localSheetId="6">'TH doi chieu T08.02'!$A$1:$L$25</definedName>
    <definedName name="_xlnm.Print_Area" localSheetId="5">'TH doi chieu T09.02'!$A$1:$L$26</definedName>
    <definedName name="_xlnm.Print_Area" localSheetId="4">'TH doi chieu T10.02'!$A$1:$L$26</definedName>
    <definedName name="_xlnm.Print_Titles" localSheetId="13">'TH doi chieu T01.02'!$6:$7</definedName>
    <definedName name="_xlnm.Print_Titles" localSheetId="12">'TH doi chieu T02.02'!$6:$7</definedName>
    <definedName name="_xlnm.Print_Titles" localSheetId="11">'TH doi chieu T03.02'!$6:$7</definedName>
    <definedName name="_xlnm.Print_Titles" localSheetId="10">'TH doi chieu T04.02'!$6:$7</definedName>
    <definedName name="_xlnm.Print_Titles" localSheetId="9">'TH doi chieu T05.02'!$6:$7</definedName>
    <definedName name="_xlnm.Print_Titles" localSheetId="8">'TH doi chieu T06.02'!$6:$7</definedName>
    <definedName name="_xlnm.Print_Titles" localSheetId="7">'TH doi chieu T07.02'!$6:$7</definedName>
    <definedName name="_xlnm.Print_Titles" localSheetId="6">'TH doi chieu T08.02'!$6:$7</definedName>
    <definedName name="_xlnm.Print_Titles" localSheetId="5">'TH doi chieu T09.02'!$6:$7</definedName>
    <definedName name="_xlnm.Print_Titles" localSheetId="4">'TH doi chieu T10.02'!$6:$7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13" l="1"/>
  <c r="U9" i="113" l="1"/>
  <c r="S9" i="113"/>
  <c r="R9" i="113"/>
  <c r="G9" i="113"/>
  <c r="K9" i="113" s="1"/>
  <c r="Q9" i="113" s="1"/>
  <c r="E11" i="113" l="1"/>
  <c r="O11" i="113"/>
  <c r="N11" i="113"/>
  <c r="M11" i="113"/>
  <c r="L11" i="113"/>
  <c r="J11" i="113"/>
  <c r="I11" i="113"/>
  <c r="H11" i="113"/>
  <c r="F11" i="113"/>
  <c r="T9" i="113"/>
  <c r="U11" i="113" l="1"/>
  <c r="R11" i="113"/>
  <c r="S11" i="113"/>
  <c r="P11" i="113"/>
  <c r="V9" i="113"/>
  <c r="F20" i="112"/>
  <c r="E20" i="112"/>
  <c r="V11" i="113" l="1"/>
  <c r="T11" i="113"/>
  <c r="G11" i="113"/>
  <c r="K11" i="113"/>
  <c r="Q11" i="113"/>
  <c r="P17" i="112"/>
  <c r="T17" i="112" s="1"/>
  <c r="V17" i="112" s="1"/>
  <c r="U17" i="112"/>
  <c r="S17" i="112"/>
  <c r="R17" i="112"/>
  <c r="G17" i="112"/>
  <c r="K17" i="112" s="1"/>
  <c r="Q17" i="112" s="1"/>
  <c r="E12" i="112" l="1"/>
  <c r="P10" i="112" l="1"/>
  <c r="T10" i="112" s="1"/>
  <c r="R10" i="112"/>
  <c r="S10" i="112"/>
  <c r="U10" i="112"/>
  <c r="P11" i="112"/>
  <c r="T11" i="112" s="1"/>
  <c r="R11" i="112"/>
  <c r="S11" i="112"/>
  <c r="U11" i="112"/>
  <c r="P12" i="112"/>
  <c r="T12" i="112" s="1"/>
  <c r="R12" i="112"/>
  <c r="S12" i="112"/>
  <c r="U12" i="112"/>
  <c r="P13" i="112"/>
  <c r="R13" i="112"/>
  <c r="S13" i="112"/>
  <c r="U13" i="112"/>
  <c r="P14" i="112"/>
  <c r="T14" i="112" s="1"/>
  <c r="R14" i="112"/>
  <c r="S14" i="112"/>
  <c r="U14" i="112"/>
  <c r="P15" i="112"/>
  <c r="T15" i="112" s="1"/>
  <c r="R15" i="112"/>
  <c r="S15" i="112"/>
  <c r="U15" i="112"/>
  <c r="P16" i="112"/>
  <c r="T16" i="112" s="1"/>
  <c r="R16" i="112"/>
  <c r="S16" i="112"/>
  <c r="U16" i="112"/>
  <c r="P18" i="112"/>
  <c r="T18" i="112" s="1"/>
  <c r="R18" i="112"/>
  <c r="S18" i="112"/>
  <c r="U18" i="112"/>
  <c r="P19" i="112"/>
  <c r="T19" i="112" s="1"/>
  <c r="R19" i="112"/>
  <c r="S19" i="112"/>
  <c r="U19" i="112"/>
  <c r="P20" i="112"/>
  <c r="T20" i="112" s="1"/>
  <c r="R20" i="112"/>
  <c r="S20" i="112"/>
  <c r="U20" i="112"/>
  <c r="P21" i="112"/>
  <c r="T21" i="112" s="1"/>
  <c r="R21" i="112"/>
  <c r="S21" i="112"/>
  <c r="U21" i="112"/>
  <c r="O22" i="112"/>
  <c r="N22" i="112"/>
  <c r="M22" i="112"/>
  <c r="L22" i="112"/>
  <c r="J22" i="112"/>
  <c r="I22" i="112"/>
  <c r="H22" i="112"/>
  <c r="F22" i="112"/>
  <c r="G21" i="112"/>
  <c r="K21" i="112" s="1"/>
  <c r="G20" i="112"/>
  <c r="K20" i="112" s="1"/>
  <c r="G19" i="112"/>
  <c r="K19" i="112" s="1"/>
  <c r="E22" i="112"/>
  <c r="G16" i="112"/>
  <c r="K16" i="112" s="1"/>
  <c r="G15" i="112"/>
  <c r="K15" i="112" s="1"/>
  <c r="G14" i="112"/>
  <c r="K14" i="112" s="1"/>
  <c r="G13" i="112"/>
  <c r="K13" i="112" s="1"/>
  <c r="G12" i="112"/>
  <c r="K12" i="112" s="1"/>
  <c r="G11" i="112"/>
  <c r="K11" i="112" s="1"/>
  <c r="G10" i="112"/>
  <c r="K10" i="112" s="1"/>
  <c r="A10" i="112"/>
  <c r="A11" i="112" s="1"/>
  <c r="A12" i="112" s="1"/>
  <c r="A13" i="112" s="1"/>
  <c r="A14" i="112" s="1"/>
  <c r="A15" i="112" s="1"/>
  <c r="U9" i="112"/>
  <c r="S9" i="112"/>
  <c r="R9" i="112"/>
  <c r="P9" i="112"/>
  <c r="G9" i="112"/>
  <c r="K9" i="112" s="1"/>
  <c r="A16" i="112" l="1"/>
  <c r="A17" i="112" s="1"/>
  <c r="A18" i="112" s="1"/>
  <c r="A19" i="112" s="1"/>
  <c r="A20" i="112" s="1"/>
  <c r="A21" i="112" s="1"/>
  <c r="V19" i="112"/>
  <c r="V14" i="112"/>
  <c r="V11" i="112"/>
  <c r="Q19" i="112"/>
  <c r="Q20" i="112"/>
  <c r="Q21" i="112"/>
  <c r="V21" i="112"/>
  <c r="V18" i="112"/>
  <c r="V10" i="112"/>
  <c r="V20" i="112"/>
  <c r="Q14" i="112"/>
  <c r="Q15" i="112"/>
  <c r="V16" i="112"/>
  <c r="V12" i="112"/>
  <c r="Q16" i="112"/>
  <c r="V15" i="112"/>
  <c r="Q12" i="112"/>
  <c r="Q10" i="112"/>
  <c r="P22" i="112"/>
  <c r="Q11" i="112"/>
  <c r="Q13" i="112"/>
  <c r="T13" i="112"/>
  <c r="V13" i="112" s="1"/>
  <c r="U22" i="112"/>
  <c r="T9" i="112"/>
  <c r="V9" i="112" s="1"/>
  <c r="S22" i="112"/>
  <c r="Q9" i="112"/>
  <c r="R22" i="112"/>
  <c r="G18" i="112"/>
  <c r="K18" i="112" s="1"/>
  <c r="Q18" i="112" s="1"/>
  <c r="E24" i="111"/>
  <c r="V22" i="112" l="1"/>
  <c r="T22" i="112"/>
  <c r="G22" i="112"/>
  <c r="Q22" i="112"/>
  <c r="K22" i="112"/>
  <c r="G20" i="111"/>
  <c r="G21" i="111"/>
  <c r="G22" i="111"/>
  <c r="G23" i="111"/>
  <c r="G24" i="111"/>
  <c r="G25" i="111"/>
  <c r="M17" i="111" l="1"/>
  <c r="P17" i="111" s="1"/>
  <c r="E17" i="111"/>
  <c r="G17" i="111" s="1"/>
  <c r="K17" i="111" s="1"/>
  <c r="P20" i="111"/>
  <c r="T20" i="111" s="1"/>
  <c r="R20" i="111"/>
  <c r="S20" i="111"/>
  <c r="U20" i="111"/>
  <c r="P21" i="111"/>
  <c r="T21" i="111" s="1"/>
  <c r="R21" i="111"/>
  <c r="S21" i="111"/>
  <c r="U21" i="111"/>
  <c r="P22" i="111"/>
  <c r="T22" i="111" s="1"/>
  <c r="R22" i="111"/>
  <c r="S22" i="111"/>
  <c r="U22" i="111"/>
  <c r="P23" i="111"/>
  <c r="T23" i="111" s="1"/>
  <c r="R23" i="111"/>
  <c r="S23" i="111"/>
  <c r="U23" i="111"/>
  <c r="P24" i="111"/>
  <c r="T24" i="111" s="1"/>
  <c r="R24" i="111"/>
  <c r="S24" i="111"/>
  <c r="U24" i="111"/>
  <c r="P25" i="111"/>
  <c r="R25" i="111"/>
  <c r="S25" i="111"/>
  <c r="U25" i="111"/>
  <c r="K20" i="111"/>
  <c r="Q20" i="111" s="1"/>
  <c r="K21" i="111"/>
  <c r="K22" i="111"/>
  <c r="K23" i="111"/>
  <c r="K24" i="111"/>
  <c r="K25" i="111"/>
  <c r="P10" i="111"/>
  <c r="T10" i="111" s="1"/>
  <c r="R10" i="111"/>
  <c r="S10" i="111"/>
  <c r="U10" i="111"/>
  <c r="P11" i="111"/>
  <c r="T11" i="111" s="1"/>
  <c r="R11" i="111"/>
  <c r="S11" i="111"/>
  <c r="U11" i="111"/>
  <c r="P12" i="111"/>
  <c r="T12" i="111" s="1"/>
  <c r="R12" i="111"/>
  <c r="S12" i="111"/>
  <c r="U12" i="111"/>
  <c r="S17" i="111"/>
  <c r="P13" i="111"/>
  <c r="T13" i="111" s="1"/>
  <c r="R13" i="111"/>
  <c r="S13" i="111"/>
  <c r="U13" i="111"/>
  <c r="P15" i="111"/>
  <c r="T15" i="111" s="1"/>
  <c r="R15" i="111"/>
  <c r="S15" i="111"/>
  <c r="U15" i="111"/>
  <c r="P16" i="111"/>
  <c r="T16" i="111" s="1"/>
  <c r="R16" i="111"/>
  <c r="S16" i="111"/>
  <c r="U16" i="111"/>
  <c r="P14" i="111"/>
  <c r="T14" i="111" s="1"/>
  <c r="R14" i="111"/>
  <c r="S14" i="111"/>
  <c r="U14" i="111"/>
  <c r="P18" i="111"/>
  <c r="R18" i="111"/>
  <c r="S18" i="111"/>
  <c r="U18" i="111"/>
  <c r="P19" i="111"/>
  <c r="T19" i="111" s="1"/>
  <c r="R19" i="111"/>
  <c r="S19" i="111"/>
  <c r="U19" i="111"/>
  <c r="O26" i="111"/>
  <c r="N26" i="111"/>
  <c r="M26" i="111"/>
  <c r="L26" i="111"/>
  <c r="J26" i="111"/>
  <c r="I26" i="111"/>
  <c r="H26" i="111"/>
  <c r="F26" i="111"/>
  <c r="G19" i="111"/>
  <c r="K19" i="111" s="1"/>
  <c r="G18" i="111"/>
  <c r="K18" i="111" s="1"/>
  <c r="G14" i="111"/>
  <c r="K14" i="111" s="1"/>
  <c r="G16" i="111"/>
  <c r="K16" i="111" s="1"/>
  <c r="G15" i="111"/>
  <c r="K15" i="111" s="1"/>
  <c r="G13" i="111"/>
  <c r="K13" i="111" s="1"/>
  <c r="G12" i="111"/>
  <c r="K12" i="111" s="1"/>
  <c r="G11" i="111"/>
  <c r="K11" i="111" s="1"/>
  <c r="G10" i="111"/>
  <c r="K10" i="111" s="1"/>
  <c r="A10" i="11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U9" i="111"/>
  <c r="S9" i="111"/>
  <c r="R9" i="111"/>
  <c r="P9" i="111"/>
  <c r="T9" i="111" s="1"/>
  <c r="G9" i="111"/>
  <c r="U17" i="111" l="1"/>
  <c r="Q24" i="111"/>
  <c r="R17" i="111"/>
  <c r="Q22" i="111"/>
  <c r="V21" i="111"/>
  <c r="Q23" i="111"/>
  <c r="Q25" i="111"/>
  <c r="V22" i="111"/>
  <c r="Q21" i="111"/>
  <c r="V20" i="111"/>
  <c r="V24" i="111"/>
  <c r="V23" i="111"/>
  <c r="T25" i="111"/>
  <c r="V25" i="111" s="1"/>
  <c r="Q10" i="111"/>
  <c r="Q15" i="111"/>
  <c r="Q19" i="111"/>
  <c r="Q16" i="111"/>
  <c r="V11" i="111"/>
  <c r="V13" i="111"/>
  <c r="Q11" i="111"/>
  <c r="S26" i="111"/>
  <c r="V12" i="111"/>
  <c r="Q13" i="111"/>
  <c r="V19" i="111"/>
  <c r="V14" i="111"/>
  <c r="P26" i="111"/>
  <c r="U26" i="111"/>
  <c r="V16" i="111"/>
  <c r="Q12" i="111"/>
  <c r="V15" i="111"/>
  <c r="Q14" i="111"/>
  <c r="Q17" i="111"/>
  <c r="Q18" i="111"/>
  <c r="R26" i="111"/>
  <c r="V10" i="111"/>
  <c r="T18" i="111"/>
  <c r="V18" i="111" s="1"/>
  <c r="T17" i="111"/>
  <c r="V17" i="111" s="1"/>
  <c r="V9" i="111"/>
  <c r="E26" i="111"/>
  <c r="K9" i="111"/>
  <c r="T26" i="111" l="1"/>
  <c r="V26" i="111"/>
  <c r="G26" i="111"/>
  <c r="Q9" i="111"/>
  <c r="Q26" i="111" s="1"/>
  <c r="K26" i="111"/>
  <c r="E21" i="110" l="1"/>
  <c r="G19" i="110" l="1"/>
  <c r="K19" i="110" s="1"/>
  <c r="P19" i="110"/>
  <c r="T19" i="110" s="1"/>
  <c r="R19" i="110"/>
  <c r="S19" i="110"/>
  <c r="U19" i="110"/>
  <c r="G20" i="110"/>
  <c r="K20" i="110" s="1"/>
  <c r="P20" i="110"/>
  <c r="T20" i="110" s="1"/>
  <c r="R20" i="110"/>
  <c r="S20" i="110"/>
  <c r="U20" i="110"/>
  <c r="G21" i="110"/>
  <c r="K21" i="110" s="1"/>
  <c r="P21" i="110"/>
  <c r="T21" i="110" s="1"/>
  <c r="R21" i="110"/>
  <c r="S21" i="110"/>
  <c r="U21" i="110"/>
  <c r="G22" i="110"/>
  <c r="K22" i="110" s="1"/>
  <c r="P22" i="110"/>
  <c r="T22" i="110" s="1"/>
  <c r="R22" i="110"/>
  <c r="S22" i="110"/>
  <c r="U22" i="110"/>
  <c r="P10" i="110"/>
  <c r="T10" i="110" s="1"/>
  <c r="R10" i="110"/>
  <c r="S10" i="110"/>
  <c r="U10" i="110"/>
  <c r="P11" i="110"/>
  <c r="T11" i="110" s="1"/>
  <c r="R11" i="110"/>
  <c r="S11" i="110"/>
  <c r="U11" i="110"/>
  <c r="P12" i="110"/>
  <c r="T12" i="110" s="1"/>
  <c r="R12" i="110"/>
  <c r="S12" i="110"/>
  <c r="U12" i="110"/>
  <c r="P13" i="110"/>
  <c r="R13" i="110"/>
  <c r="S13" i="110"/>
  <c r="U13" i="110"/>
  <c r="P14" i="110"/>
  <c r="T14" i="110" s="1"/>
  <c r="R14" i="110"/>
  <c r="S14" i="110"/>
  <c r="U14" i="110"/>
  <c r="P15" i="110"/>
  <c r="T15" i="110" s="1"/>
  <c r="R15" i="110"/>
  <c r="S15" i="110"/>
  <c r="U15" i="110"/>
  <c r="P16" i="110"/>
  <c r="T16" i="110" s="1"/>
  <c r="R16" i="110"/>
  <c r="S16" i="110"/>
  <c r="U16" i="110"/>
  <c r="P17" i="110"/>
  <c r="T17" i="110" s="1"/>
  <c r="R17" i="110"/>
  <c r="S17" i="110"/>
  <c r="U17" i="110"/>
  <c r="P18" i="110"/>
  <c r="R18" i="110"/>
  <c r="S18" i="110"/>
  <c r="U18" i="110"/>
  <c r="V10" i="110" l="1"/>
  <c r="V16" i="110"/>
  <c r="V19" i="110"/>
  <c r="V14" i="110"/>
  <c r="V20" i="110"/>
  <c r="V21" i="110"/>
  <c r="Q20" i="110"/>
  <c r="Q19" i="110"/>
  <c r="V15" i="110"/>
  <c r="V12" i="110"/>
  <c r="V22" i="110"/>
  <c r="Q21" i="110"/>
  <c r="Q22" i="110"/>
  <c r="V17" i="110"/>
  <c r="V11" i="110"/>
  <c r="T18" i="110"/>
  <c r="V18" i="110" s="1"/>
  <c r="T13" i="110"/>
  <c r="V13" i="110" s="1"/>
  <c r="G17" i="110" l="1"/>
  <c r="K17" i="110" s="1"/>
  <c r="Q17" i="110" s="1"/>
  <c r="O23" i="110" l="1"/>
  <c r="N23" i="110"/>
  <c r="M23" i="110"/>
  <c r="L23" i="110"/>
  <c r="J23" i="110"/>
  <c r="I23" i="110"/>
  <c r="H23" i="110"/>
  <c r="F23" i="110"/>
  <c r="E23" i="110"/>
  <c r="G18" i="110"/>
  <c r="K18" i="110" s="1"/>
  <c r="Q18" i="110" s="1"/>
  <c r="G16" i="110"/>
  <c r="K16" i="110" s="1"/>
  <c r="Q16" i="110" s="1"/>
  <c r="G15" i="110"/>
  <c r="K15" i="110" s="1"/>
  <c r="Q15" i="110" s="1"/>
  <c r="G14" i="110"/>
  <c r="K14" i="110" s="1"/>
  <c r="Q14" i="110" s="1"/>
  <c r="G13" i="110"/>
  <c r="K13" i="110" s="1"/>
  <c r="Q13" i="110" s="1"/>
  <c r="G12" i="110"/>
  <c r="K12" i="110" s="1"/>
  <c r="Q12" i="110" s="1"/>
  <c r="G11" i="110"/>
  <c r="K11" i="110" s="1"/>
  <c r="Q11" i="110" s="1"/>
  <c r="G10" i="110"/>
  <c r="K10" i="110" s="1"/>
  <c r="Q10" i="110" s="1"/>
  <c r="A10" i="110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U9" i="110"/>
  <c r="S9" i="110"/>
  <c r="R9" i="110"/>
  <c r="P9" i="110"/>
  <c r="G9" i="110"/>
  <c r="K9" i="110" s="1"/>
  <c r="U23" i="110" l="1"/>
  <c r="S23" i="110"/>
  <c r="R23" i="110"/>
  <c r="K23" i="110"/>
  <c r="Q9" i="110"/>
  <c r="G23" i="110"/>
  <c r="T9" i="110"/>
  <c r="P23" i="110"/>
  <c r="Q23" i="110" l="1"/>
  <c r="V9" i="110"/>
  <c r="T23" i="110"/>
  <c r="V23" i="110" l="1"/>
  <c r="B10" i="107" l="1"/>
  <c r="C10" i="107"/>
  <c r="D10" i="107"/>
  <c r="E10" i="107"/>
  <c r="F10" i="107"/>
  <c r="G10" i="107"/>
  <c r="H10" i="107"/>
  <c r="I10" i="107"/>
  <c r="J10" i="107"/>
  <c r="B11" i="107"/>
  <c r="C11" i="107"/>
  <c r="D11" i="107"/>
  <c r="E11" i="107"/>
  <c r="F11" i="107"/>
  <c r="G11" i="107"/>
  <c r="H11" i="107"/>
  <c r="I11" i="107"/>
  <c r="J11" i="107"/>
  <c r="B12" i="107"/>
  <c r="C12" i="107"/>
  <c r="D12" i="107"/>
  <c r="E12" i="107"/>
  <c r="F12" i="107"/>
  <c r="G12" i="107"/>
  <c r="H12" i="107"/>
  <c r="I12" i="107"/>
  <c r="J12" i="107"/>
  <c r="B13" i="107"/>
  <c r="C13" i="107"/>
  <c r="D13" i="107"/>
  <c r="E13" i="107"/>
  <c r="F13" i="107"/>
  <c r="G13" i="107"/>
  <c r="H13" i="107"/>
  <c r="I13" i="107"/>
  <c r="J13" i="107"/>
  <c r="B14" i="107"/>
  <c r="C14" i="107"/>
  <c r="D14" i="107"/>
  <c r="E14" i="107"/>
  <c r="F14" i="107"/>
  <c r="G14" i="107"/>
  <c r="H14" i="107"/>
  <c r="I14" i="107"/>
  <c r="J14" i="107"/>
  <c r="B15" i="107"/>
  <c r="C15" i="107"/>
  <c r="D15" i="107"/>
  <c r="E15" i="107"/>
  <c r="F15" i="107"/>
  <c r="G15" i="107"/>
  <c r="H15" i="107"/>
  <c r="I15" i="107"/>
  <c r="J15" i="107"/>
  <c r="B16" i="107"/>
  <c r="C16" i="107"/>
  <c r="D16" i="107"/>
  <c r="E16" i="107"/>
  <c r="F16" i="107"/>
  <c r="G16" i="107"/>
  <c r="H16" i="107"/>
  <c r="I16" i="107"/>
  <c r="J16" i="107"/>
  <c r="B17" i="107"/>
  <c r="C17" i="107"/>
  <c r="D17" i="107"/>
  <c r="E17" i="107"/>
  <c r="F17" i="107"/>
  <c r="G17" i="107"/>
  <c r="H17" i="107"/>
  <c r="I17" i="107"/>
  <c r="J17" i="107"/>
  <c r="B18" i="107"/>
  <c r="C18" i="107"/>
  <c r="D18" i="107"/>
  <c r="E18" i="107"/>
  <c r="F18" i="107"/>
  <c r="G18" i="107"/>
  <c r="H18" i="107"/>
  <c r="I18" i="107"/>
  <c r="J18" i="107"/>
  <c r="B19" i="107"/>
  <c r="C19" i="107"/>
  <c r="D19" i="107"/>
  <c r="E19" i="107"/>
  <c r="F19" i="107"/>
  <c r="G19" i="107"/>
  <c r="H19" i="107"/>
  <c r="I19" i="107"/>
  <c r="J19" i="107"/>
  <c r="B20" i="107"/>
  <c r="C20" i="107"/>
  <c r="D20" i="107"/>
  <c r="E20" i="107"/>
  <c r="F20" i="107"/>
  <c r="G20" i="107"/>
  <c r="H20" i="107"/>
  <c r="I20" i="107"/>
  <c r="J20" i="107"/>
  <c r="K20" i="107" s="1"/>
  <c r="B21" i="107"/>
  <c r="C21" i="107"/>
  <c r="D21" i="107"/>
  <c r="E21" i="107"/>
  <c r="F21" i="107"/>
  <c r="G21" i="107"/>
  <c r="H21" i="107"/>
  <c r="I21" i="107"/>
  <c r="J21" i="107"/>
  <c r="B22" i="107"/>
  <c r="C22" i="107"/>
  <c r="D22" i="107"/>
  <c r="E22" i="107"/>
  <c r="F22" i="107"/>
  <c r="G22" i="107"/>
  <c r="H22" i="107"/>
  <c r="I22" i="107"/>
  <c r="J22" i="107"/>
  <c r="B23" i="107"/>
  <c r="C23" i="107"/>
  <c r="D23" i="107"/>
  <c r="E23" i="107"/>
  <c r="F23" i="107"/>
  <c r="G23" i="107"/>
  <c r="H23" i="107"/>
  <c r="I23" i="107"/>
  <c r="J23" i="107"/>
  <c r="K16" i="107" l="1"/>
  <c r="K13" i="107"/>
  <c r="K12" i="107"/>
  <c r="K15" i="107"/>
  <c r="K21" i="107"/>
  <c r="K18" i="107"/>
  <c r="K11" i="107"/>
  <c r="K14" i="107"/>
  <c r="K19" i="107"/>
  <c r="K22" i="107"/>
  <c r="K17" i="107"/>
  <c r="K10" i="107"/>
  <c r="K23" i="107"/>
  <c r="G9" i="107"/>
  <c r="F9" i="107"/>
  <c r="E9" i="107"/>
  <c r="D9" i="107"/>
  <c r="C9" i="107"/>
  <c r="B9" i="107"/>
  <c r="A9" i="107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G8" i="107"/>
  <c r="F8" i="107"/>
  <c r="E8" i="107"/>
  <c r="D8" i="107"/>
  <c r="C8" i="107"/>
  <c r="B8" i="107"/>
  <c r="J9" i="107"/>
  <c r="J8" i="107"/>
  <c r="H8" i="107"/>
  <c r="F24" i="107" l="1"/>
  <c r="H9" i="107"/>
  <c r="I8" i="107"/>
  <c r="E24" i="107"/>
  <c r="J24" i="107"/>
  <c r="G24" i="107"/>
  <c r="B10" i="105"/>
  <c r="C10" i="105"/>
  <c r="D10" i="105"/>
  <c r="E10" i="105"/>
  <c r="F10" i="105"/>
  <c r="G10" i="105"/>
  <c r="B11" i="105"/>
  <c r="C11" i="105"/>
  <c r="D11" i="105"/>
  <c r="E11" i="105"/>
  <c r="F11" i="105"/>
  <c r="G11" i="105"/>
  <c r="B12" i="105"/>
  <c r="C12" i="105"/>
  <c r="D12" i="105"/>
  <c r="E12" i="105"/>
  <c r="F12" i="105"/>
  <c r="G12" i="105"/>
  <c r="B13" i="105"/>
  <c r="C13" i="105"/>
  <c r="D13" i="105"/>
  <c r="E13" i="105"/>
  <c r="F13" i="105"/>
  <c r="G13" i="105"/>
  <c r="B14" i="105"/>
  <c r="C14" i="105"/>
  <c r="D14" i="105"/>
  <c r="E14" i="105"/>
  <c r="F14" i="105"/>
  <c r="G14" i="105"/>
  <c r="B15" i="105"/>
  <c r="C15" i="105"/>
  <c r="D15" i="105"/>
  <c r="E15" i="105"/>
  <c r="F15" i="105"/>
  <c r="G15" i="105"/>
  <c r="B16" i="105"/>
  <c r="C16" i="105"/>
  <c r="D16" i="105"/>
  <c r="E16" i="105"/>
  <c r="F16" i="105"/>
  <c r="G16" i="105"/>
  <c r="B17" i="105"/>
  <c r="C17" i="105"/>
  <c r="D17" i="105"/>
  <c r="E17" i="105"/>
  <c r="F17" i="105"/>
  <c r="G17" i="105"/>
  <c r="B18" i="105"/>
  <c r="C18" i="105"/>
  <c r="D18" i="105"/>
  <c r="E18" i="105"/>
  <c r="F18" i="105"/>
  <c r="G18" i="105"/>
  <c r="B19" i="105"/>
  <c r="C19" i="105"/>
  <c r="D19" i="105"/>
  <c r="E19" i="105"/>
  <c r="F19" i="105"/>
  <c r="G19" i="105"/>
  <c r="B20" i="105"/>
  <c r="C20" i="105"/>
  <c r="D20" i="105"/>
  <c r="E20" i="105"/>
  <c r="F20" i="105"/>
  <c r="G20" i="105"/>
  <c r="B21" i="105"/>
  <c r="C21" i="105"/>
  <c r="D21" i="105"/>
  <c r="E21" i="105"/>
  <c r="F21" i="105"/>
  <c r="G21" i="105"/>
  <c r="B22" i="105"/>
  <c r="C22" i="105"/>
  <c r="D22" i="105"/>
  <c r="E22" i="105"/>
  <c r="F22" i="105"/>
  <c r="G22" i="105"/>
  <c r="B23" i="105"/>
  <c r="C23" i="105"/>
  <c r="D23" i="105"/>
  <c r="E23" i="105"/>
  <c r="F23" i="105"/>
  <c r="G23" i="105"/>
  <c r="H24" i="107" l="1"/>
  <c r="K8" i="107"/>
  <c r="I9" i="107"/>
  <c r="K9" i="107" s="1"/>
  <c r="J20" i="105"/>
  <c r="H15" i="105"/>
  <c r="J15" i="105"/>
  <c r="K24" i="107" l="1"/>
  <c r="I24" i="107"/>
  <c r="H20" i="105"/>
  <c r="I15" i="105" l="1"/>
  <c r="K15" i="105" s="1"/>
  <c r="I20" i="105"/>
  <c r="K20" i="105" s="1"/>
  <c r="J18" i="105"/>
  <c r="J19" i="105"/>
  <c r="I19" i="105" l="1"/>
  <c r="K19" i="105" s="1"/>
  <c r="H19" i="105"/>
  <c r="H18" i="105"/>
  <c r="G9" i="105"/>
  <c r="F9" i="105"/>
  <c r="E9" i="105"/>
  <c r="D9" i="105"/>
  <c r="C9" i="105"/>
  <c r="B9" i="105"/>
  <c r="A9" i="105"/>
  <c r="A10" i="105" s="1"/>
  <c r="A11" i="105" s="1"/>
  <c r="A12" i="105" s="1"/>
  <c r="A13" i="105" s="1"/>
  <c r="A14" i="105" s="1"/>
  <c r="A15" i="105" s="1"/>
  <c r="A16" i="105" s="1"/>
  <c r="A17" i="105" s="1"/>
  <c r="A18" i="105" s="1"/>
  <c r="A19" i="105" s="1"/>
  <c r="A20" i="105" s="1"/>
  <c r="A21" i="105" s="1"/>
  <c r="A22" i="105" s="1"/>
  <c r="A23" i="105" s="1"/>
  <c r="G8" i="105"/>
  <c r="F8" i="105"/>
  <c r="E8" i="105"/>
  <c r="D8" i="105"/>
  <c r="C8" i="105"/>
  <c r="B8" i="105"/>
  <c r="J23" i="105"/>
  <c r="J22" i="105"/>
  <c r="H22" i="105"/>
  <c r="J21" i="105"/>
  <c r="H21" i="105"/>
  <c r="J17" i="105"/>
  <c r="H17" i="105"/>
  <c r="J16" i="105"/>
  <c r="H16" i="105"/>
  <c r="J14" i="105"/>
  <c r="H14" i="105"/>
  <c r="J13" i="105"/>
  <c r="H13" i="105"/>
  <c r="J12" i="105"/>
  <c r="H12" i="105"/>
  <c r="J11" i="105"/>
  <c r="H11" i="105"/>
  <c r="J10" i="105"/>
  <c r="H10" i="105"/>
  <c r="J9" i="105"/>
  <c r="J8" i="105"/>
  <c r="H8" i="105"/>
  <c r="I18" i="105" l="1"/>
  <c r="K18" i="105" s="1"/>
  <c r="I23" i="105"/>
  <c r="K23" i="105" s="1"/>
  <c r="H23" i="105"/>
  <c r="I21" i="105"/>
  <c r="K21" i="105" s="1"/>
  <c r="G24" i="105"/>
  <c r="H9" i="105"/>
  <c r="I14" i="105"/>
  <c r="K14" i="105" s="1"/>
  <c r="F24" i="105"/>
  <c r="E24" i="105"/>
  <c r="I8" i="105"/>
  <c r="K8" i="105" s="1"/>
  <c r="I11" i="105"/>
  <c r="K11" i="105" s="1"/>
  <c r="J24" i="105"/>
  <c r="I10" i="105"/>
  <c r="K10" i="105" s="1"/>
  <c r="I13" i="105"/>
  <c r="K13" i="105" s="1"/>
  <c r="I9" i="105"/>
  <c r="K9" i="105" s="1"/>
  <c r="B21" i="103"/>
  <c r="C21" i="103"/>
  <c r="D21" i="103"/>
  <c r="E21" i="103"/>
  <c r="F21" i="103"/>
  <c r="G21" i="103"/>
  <c r="H21" i="103"/>
  <c r="I21" i="103"/>
  <c r="J21" i="103"/>
  <c r="B22" i="103"/>
  <c r="C22" i="103"/>
  <c r="D22" i="103"/>
  <c r="E22" i="103"/>
  <c r="F22" i="103"/>
  <c r="G22" i="103"/>
  <c r="H22" i="103"/>
  <c r="I22" i="103"/>
  <c r="J22" i="103"/>
  <c r="B9" i="103"/>
  <c r="C9" i="103"/>
  <c r="D9" i="103"/>
  <c r="E9" i="103"/>
  <c r="F9" i="103"/>
  <c r="G9" i="103"/>
  <c r="H9" i="103"/>
  <c r="I9" i="103"/>
  <c r="J9" i="103"/>
  <c r="B10" i="103"/>
  <c r="C10" i="103"/>
  <c r="D10" i="103"/>
  <c r="E10" i="103"/>
  <c r="F10" i="103"/>
  <c r="G10" i="103"/>
  <c r="H10" i="103"/>
  <c r="I10" i="103"/>
  <c r="J10" i="103"/>
  <c r="B11" i="103"/>
  <c r="C11" i="103"/>
  <c r="D11" i="103"/>
  <c r="E11" i="103"/>
  <c r="F11" i="103"/>
  <c r="G11" i="103"/>
  <c r="H11" i="103"/>
  <c r="I11" i="103"/>
  <c r="J11" i="103"/>
  <c r="B12" i="103"/>
  <c r="C12" i="103"/>
  <c r="D12" i="103"/>
  <c r="E12" i="103"/>
  <c r="F12" i="103"/>
  <c r="G12" i="103"/>
  <c r="H12" i="103"/>
  <c r="I12" i="103"/>
  <c r="J12" i="103"/>
  <c r="B13" i="103"/>
  <c r="C13" i="103"/>
  <c r="D13" i="103"/>
  <c r="E13" i="103"/>
  <c r="F13" i="103"/>
  <c r="G13" i="103"/>
  <c r="H13" i="103"/>
  <c r="I13" i="103"/>
  <c r="J13" i="103"/>
  <c r="B14" i="103"/>
  <c r="C14" i="103"/>
  <c r="D14" i="103"/>
  <c r="E14" i="103"/>
  <c r="F14" i="103"/>
  <c r="G14" i="103"/>
  <c r="H14" i="103"/>
  <c r="I14" i="103"/>
  <c r="J14" i="103"/>
  <c r="B15" i="103"/>
  <c r="C15" i="103"/>
  <c r="D15" i="103"/>
  <c r="E15" i="103"/>
  <c r="F15" i="103"/>
  <c r="G15" i="103"/>
  <c r="H15" i="103"/>
  <c r="I15" i="103"/>
  <c r="J15" i="103"/>
  <c r="B16" i="103"/>
  <c r="C16" i="103"/>
  <c r="D16" i="103"/>
  <c r="E16" i="103"/>
  <c r="F16" i="103"/>
  <c r="G16" i="103"/>
  <c r="H16" i="103"/>
  <c r="I16" i="103"/>
  <c r="J16" i="103"/>
  <c r="B17" i="103"/>
  <c r="C17" i="103"/>
  <c r="D17" i="103"/>
  <c r="E17" i="103"/>
  <c r="F17" i="103"/>
  <c r="G17" i="103"/>
  <c r="H17" i="103"/>
  <c r="I17" i="103"/>
  <c r="J17" i="103"/>
  <c r="B18" i="103"/>
  <c r="C18" i="103"/>
  <c r="D18" i="103"/>
  <c r="E18" i="103"/>
  <c r="F18" i="103"/>
  <c r="G18" i="103"/>
  <c r="H18" i="103"/>
  <c r="I18" i="103"/>
  <c r="J18" i="103"/>
  <c r="B19" i="103"/>
  <c r="C19" i="103"/>
  <c r="D19" i="103"/>
  <c r="E19" i="103"/>
  <c r="F19" i="103"/>
  <c r="G19" i="103"/>
  <c r="H19" i="103"/>
  <c r="I19" i="103"/>
  <c r="J19" i="103"/>
  <c r="B20" i="103"/>
  <c r="C20" i="103"/>
  <c r="D20" i="103"/>
  <c r="E20" i="103"/>
  <c r="F20" i="103"/>
  <c r="G20" i="103"/>
  <c r="H20" i="103"/>
  <c r="I20" i="103"/>
  <c r="J20" i="103"/>
  <c r="K22" i="103" l="1"/>
  <c r="K12" i="103"/>
  <c r="K10" i="103"/>
  <c r="K19" i="103"/>
  <c r="K15" i="103"/>
  <c r="K9" i="103"/>
  <c r="K21" i="103"/>
  <c r="I12" i="105"/>
  <c r="K12" i="105" s="1"/>
  <c r="I16" i="105"/>
  <c r="K16" i="105" s="1"/>
  <c r="I17" i="105"/>
  <c r="K17" i="105" s="1"/>
  <c r="I22" i="105"/>
  <c r="K22" i="105" s="1"/>
  <c r="H24" i="105"/>
  <c r="K13" i="103"/>
  <c r="K18" i="103"/>
  <c r="K16" i="103"/>
  <c r="K11" i="103"/>
  <c r="K14" i="103"/>
  <c r="K17" i="103"/>
  <c r="K20" i="103"/>
  <c r="K24" i="105" l="1"/>
  <c r="I24" i="105"/>
  <c r="A9" i="103" l="1"/>
  <c r="A10" i="103" s="1"/>
  <c r="A11" i="103" s="1"/>
  <c r="A12" i="103" s="1"/>
  <c r="A13" i="103" s="1"/>
  <c r="A14" i="103" s="1"/>
  <c r="A15" i="103" s="1"/>
  <c r="A16" i="103" s="1"/>
  <c r="A17" i="103" s="1"/>
  <c r="A18" i="103" s="1"/>
  <c r="A19" i="103" s="1"/>
  <c r="A20" i="103" s="1"/>
  <c r="A21" i="103" s="1"/>
  <c r="A22" i="103" s="1"/>
  <c r="G8" i="103"/>
  <c r="G23" i="103" s="1"/>
  <c r="F8" i="103"/>
  <c r="F23" i="103" s="1"/>
  <c r="E8" i="103"/>
  <c r="E23" i="103" s="1"/>
  <c r="D8" i="103"/>
  <c r="C8" i="103"/>
  <c r="B8" i="103"/>
  <c r="H8" i="103"/>
  <c r="H23" i="103" s="1"/>
  <c r="J8" i="103" l="1"/>
  <c r="J23" i="103" s="1"/>
  <c r="I8" i="103" l="1"/>
  <c r="I23" i="103" s="1"/>
  <c r="B9" i="101"/>
  <c r="C9" i="101"/>
  <c r="D9" i="101"/>
  <c r="E9" i="101"/>
  <c r="F9" i="101"/>
  <c r="G9" i="101"/>
  <c r="H9" i="101"/>
  <c r="I9" i="101"/>
  <c r="J9" i="101"/>
  <c r="B10" i="101"/>
  <c r="C10" i="101"/>
  <c r="D10" i="101"/>
  <c r="E10" i="101"/>
  <c r="F10" i="101"/>
  <c r="G10" i="101"/>
  <c r="H10" i="101"/>
  <c r="I10" i="101"/>
  <c r="J10" i="101"/>
  <c r="B11" i="101"/>
  <c r="C11" i="101"/>
  <c r="D11" i="101"/>
  <c r="E11" i="101"/>
  <c r="F11" i="101"/>
  <c r="G11" i="101"/>
  <c r="H11" i="101"/>
  <c r="I11" i="101"/>
  <c r="J11" i="101"/>
  <c r="B12" i="101"/>
  <c r="C12" i="101"/>
  <c r="D12" i="101"/>
  <c r="E12" i="101"/>
  <c r="F12" i="101"/>
  <c r="G12" i="101"/>
  <c r="H12" i="101"/>
  <c r="I12" i="101"/>
  <c r="J12" i="101"/>
  <c r="B13" i="101"/>
  <c r="C13" i="101"/>
  <c r="D13" i="101"/>
  <c r="E13" i="101"/>
  <c r="F13" i="101"/>
  <c r="G13" i="101"/>
  <c r="H13" i="101"/>
  <c r="I13" i="101"/>
  <c r="J13" i="101"/>
  <c r="B14" i="101"/>
  <c r="C14" i="101"/>
  <c r="D14" i="101"/>
  <c r="E14" i="101"/>
  <c r="F14" i="101"/>
  <c r="G14" i="101"/>
  <c r="H14" i="101"/>
  <c r="I14" i="101"/>
  <c r="J14" i="101"/>
  <c r="B15" i="101"/>
  <c r="C15" i="101"/>
  <c r="D15" i="101"/>
  <c r="E15" i="101"/>
  <c r="F15" i="101"/>
  <c r="G15" i="101"/>
  <c r="H15" i="101"/>
  <c r="I15" i="101"/>
  <c r="J15" i="101"/>
  <c r="B16" i="101"/>
  <c r="C16" i="101"/>
  <c r="D16" i="101"/>
  <c r="E16" i="101"/>
  <c r="F16" i="101"/>
  <c r="G16" i="101"/>
  <c r="H16" i="101"/>
  <c r="I16" i="101"/>
  <c r="J16" i="101"/>
  <c r="B17" i="101"/>
  <c r="C17" i="101"/>
  <c r="D17" i="101"/>
  <c r="E17" i="101"/>
  <c r="F17" i="101"/>
  <c r="G17" i="101"/>
  <c r="H17" i="101"/>
  <c r="I17" i="101"/>
  <c r="J17" i="101"/>
  <c r="K17" i="101"/>
  <c r="B18" i="101"/>
  <c r="C18" i="101"/>
  <c r="D18" i="101"/>
  <c r="E18" i="101"/>
  <c r="F18" i="101"/>
  <c r="G18" i="101"/>
  <c r="H18" i="101"/>
  <c r="I18" i="101"/>
  <c r="J18" i="101"/>
  <c r="B19" i="101"/>
  <c r="C19" i="101"/>
  <c r="D19" i="101"/>
  <c r="E19" i="101"/>
  <c r="F19" i="101"/>
  <c r="G19" i="101"/>
  <c r="H19" i="101"/>
  <c r="I19" i="101"/>
  <c r="J19" i="101"/>
  <c r="B20" i="101"/>
  <c r="C20" i="101"/>
  <c r="D20" i="101"/>
  <c r="E20" i="101"/>
  <c r="F20" i="101"/>
  <c r="G20" i="101"/>
  <c r="H20" i="101"/>
  <c r="I20" i="101"/>
  <c r="J20" i="101"/>
  <c r="B21" i="101"/>
  <c r="C21" i="101"/>
  <c r="D21" i="101"/>
  <c r="E21" i="101"/>
  <c r="F21" i="101"/>
  <c r="G21" i="101"/>
  <c r="H21" i="101"/>
  <c r="I21" i="101"/>
  <c r="J21" i="101"/>
  <c r="K21" i="101" s="1"/>
  <c r="K14" i="101" l="1"/>
  <c r="K13" i="101"/>
  <c r="K11" i="101"/>
  <c r="K20" i="101"/>
  <c r="K18" i="101"/>
  <c r="K9" i="101"/>
  <c r="K12" i="101"/>
  <c r="K10" i="101"/>
  <c r="K16" i="101"/>
  <c r="K19" i="101"/>
  <c r="K15" i="101"/>
  <c r="K8" i="103"/>
  <c r="K23" i="103" s="1"/>
  <c r="A9" i="101" l="1"/>
  <c r="A10" i="101" s="1"/>
  <c r="A11" i="101" s="1"/>
  <c r="A12" i="101" s="1"/>
  <c r="A13" i="101" s="1"/>
  <c r="A14" i="101" s="1"/>
  <c r="A15" i="101" s="1"/>
  <c r="A16" i="101" s="1"/>
  <c r="A17" i="101" s="1"/>
  <c r="A18" i="101" s="1"/>
  <c r="A19" i="101" s="1"/>
  <c r="A20" i="101" s="1"/>
  <c r="A21" i="101" s="1"/>
  <c r="G8" i="101"/>
  <c r="F8" i="101"/>
  <c r="E8" i="101"/>
  <c r="D8" i="101"/>
  <c r="C8" i="101"/>
  <c r="B8" i="101"/>
  <c r="J8" i="101"/>
  <c r="H8" i="101"/>
  <c r="E22" i="101" l="1"/>
  <c r="H22" i="101"/>
  <c r="G22" i="101"/>
  <c r="F22" i="101"/>
  <c r="I8" i="101"/>
  <c r="K8" i="101" s="1"/>
  <c r="J22" i="101"/>
  <c r="B10" i="99"/>
  <c r="C10" i="99"/>
  <c r="D10" i="99"/>
  <c r="E10" i="99"/>
  <c r="F10" i="99"/>
  <c r="G10" i="99"/>
  <c r="H10" i="99"/>
  <c r="I10" i="99"/>
  <c r="J10" i="99"/>
  <c r="B11" i="99"/>
  <c r="C11" i="99"/>
  <c r="D11" i="99"/>
  <c r="E11" i="99"/>
  <c r="F11" i="99"/>
  <c r="G11" i="99"/>
  <c r="H11" i="99"/>
  <c r="I11" i="99"/>
  <c r="J11" i="99"/>
  <c r="B12" i="99"/>
  <c r="C12" i="99"/>
  <c r="D12" i="99"/>
  <c r="E12" i="99"/>
  <c r="F12" i="99"/>
  <c r="G12" i="99"/>
  <c r="H12" i="99"/>
  <c r="I12" i="99"/>
  <c r="J12" i="99"/>
  <c r="B13" i="99"/>
  <c r="C13" i="99"/>
  <c r="D13" i="99"/>
  <c r="E13" i="99"/>
  <c r="F13" i="99"/>
  <c r="G13" i="99"/>
  <c r="H13" i="99"/>
  <c r="I13" i="99"/>
  <c r="J13" i="99"/>
  <c r="B14" i="99"/>
  <c r="C14" i="99"/>
  <c r="D14" i="99"/>
  <c r="E14" i="99"/>
  <c r="F14" i="99"/>
  <c r="G14" i="99"/>
  <c r="H14" i="99"/>
  <c r="I14" i="99"/>
  <c r="J14" i="99"/>
  <c r="B15" i="99"/>
  <c r="C15" i="99"/>
  <c r="D15" i="99"/>
  <c r="E15" i="99"/>
  <c r="F15" i="99"/>
  <c r="G15" i="99"/>
  <c r="H15" i="99"/>
  <c r="I15" i="99"/>
  <c r="J15" i="99"/>
  <c r="K15" i="99"/>
  <c r="B16" i="99"/>
  <c r="C16" i="99"/>
  <c r="D16" i="99"/>
  <c r="E16" i="99"/>
  <c r="F16" i="99"/>
  <c r="G16" i="99"/>
  <c r="H16" i="99"/>
  <c r="I16" i="99"/>
  <c r="J16" i="99"/>
  <c r="B17" i="99"/>
  <c r="C17" i="99"/>
  <c r="D17" i="99"/>
  <c r="E17" i="99"/>
  <c r="F17" i="99"/>
  <c r="G17" i="99"/>
  <c r="H17" i="99"/>
  <c r="I17" i="99"/>
  <c r="J17" i="99"/>
  <c r="B18" i="99"/>
  <c r="C18" i="99"/>
  <c r="D18" i="99"/>
  <c r="E18" i="99"/>
  <c r="F18" i="99"/>
  <c r="G18" i="99"/>
  <c r="H18" i="99"/>
  <c r="I18" i="99"/>
  <c r="J18" i="99"/>
  <c r="B19" i="99"/>
  <c r="C19" i="99"/>
  <c r="D19" i="99"/>
  <c r="E19" i="99"/>
  <c r="F19" i="99"/>
  <c r="G19" i="99"/>
  <c r="H19" i="99"/>
  <c r="I19" i="99"/>
  <c r="J19" i="99"/>
  <c r="B20" i="99"/>
  <c r="C20" i="99"/>
  <c r="D20" i="99"/>
  <c r="E20" i="99"/>
  <c r="F20" i="99"/>
  <c r="G20" i="99"/>
  <c r="H20" i="99"/>
  <c r="I20" i="99"/>
  <c r="J20" i="99"/>
  <c r="B21" i="99"/>
  <c r="C21" i="99"/>
  <c r="D21" i="99"/>
  <c r="E21" i="99"/>
  <c r="F21" i="99"/>
  <c r="G21" i="99"/>
  <c r="H21" i="99"/>
  <c r="I21" i="99"/>
  <c r="J21" i="99"/>
  <c r="K21" i="99"/>
  <c r="B22" i="99"/>
  <c r="C22" i="99"/>
  <c r="D22" i="99"/>
  <c r="E22" i="99"/>
  <c r="F22" i="99"/>
  <c r="G22" i="99"/>
  <c r="H22" i="99"/>
  <c r="I22" i="99"/>
  <c r="J22" i="99"/>
  <c r="K10" i="99" l="1"/>
  <c r="K22" i="99"/>
  <c r="K18" i="99"/>
  <c r="K16" i="99"/>
  <c r="K12" i="99"/>
  <c r="K19" i="99"/>
  <c r="K14" i="99"/>
  <c r="K17" i="99"/>
  <c r="K13" i="99"/>
  <c r="K11" i="99"/>
  <c r="K20" i="99"/>
  <c r="A9" i="99"/>
  <c r="A10" i="99" s="1"/>
  <c r="A11" i="99" s="1"/>
  <c r="A12" i="99" s="1"/>
  <c r="A13" i="99" s="1"/>
  <c r="A14" i="99" s="1"/>
  <c r="A15" i="99" s="1"/>
  <c r="A16" i="99" s="1"/>
  <c r="A17" i="99" s="1"/>
  <c r="A18" i="99" s="1"/>
  <c r="A19" i="99" s="1"/>
  <c r="A20" i="99" s="1"/>
  <c r="A21" i="99" s="1"/>
  <c r="A22" i="99" s="1"/>
  <c r="B9" i="99"/>
  <c r="C9" i="99"/>
  <c r="D9" i="99"/>
  <c r="E9" i="99"/>
  <c r="F9" i="99"/>
  <c r="G9" i="99"/>
  <c r="H9" i="99"/>
  <c r="I9" i="99"/>
  <c r="J9" i="99"/>
  <c r="K9" i="99" l="1"/>
  <c r="K22" i="101"/>
  <c r="I22" i="101"/>
  <c r="G8" i="99" l="1"/>
  <c r="F8" i="99"/>
  <c r="E8" i="99"/>
  <c r="D8" i="99"/>
  <c r="C8" i="99"/>
  <c r="B8" i="99"/>
  <c r="J8" i="99"/>
  <c r="E23" i="99" l="1"/>
  <c r="G23" i="99"/>
  <c r="J23" i="99"/>
  <c r="F23" i="99"/>
  <c r="I8" i="99"/>
  <c r="H8" i="99"/>
  <c r="B10" i="97"/>
  <c r="C10" i="97"/>
  <c r="D10" i="97"/>
  <c r="E10" i="97"/>
  <c r="F10" i="97"/>
  <c r="G10" i="97"/>
  <c r="H10" i="97"/>
  <c r="I10" i="97"/>
  <c r="J10" i="97"/>
  <c r="K10" i="97"/>
  <c r="B11" i="97"/>
  <c r="C11" i="97"/>
  <c r="D11" i="97"/>
  <c r="E11" i="97"/>
  <c r="F11" i="97"/>
  <c r="G11" i="97"/>
  <c r="H11" i="97"/>
  <c r="I11" i="97"/>
  <c r="K11" i="97" s="1"/>
  <c r="J11" i="97"/>
  <c r="B12" i="97"/>
  <c r="C12" i="97"/>
  <c r="D12" i="97"/>
  <c r="E12" i="97"/>
  <c r="F12" i="97"/>
  <c r="G12" i="97"/>
  <c r="H12" i="97"/>
  <c r="I12" i="97"/>
  <c r="J12" i="97"/>
  <c r="B13" i="97"/>
  <c r="C13" i="97"/>
  <c r="D13" i="97"/>
  <c r="E13" i="97"/>
  <c r="F13" i="97"/>
  <c r="G13" i="97"/>
  <c r="H13" i="97"/>
  <c r="I13" i="97"/>
  <c r="J13" i="97"/>
  <c r="B14" i="97"/>
  <c r="C14" i="97"/>
  <c r="D14" i="97"/>
  <c r="E14" i="97"/>
  <c r="F14" i="97"/>
  <c r="G14" i="97"/>
  <c r="H14" i="97"/>
  <c r="I14" i="97"/>
  <c r="J14" i="97"/>
  <c r="B15" i="97"/>
  <c r="C15" i="97"/>
  <c r="D15" i="97"/>
  <c r="E15" i="97"/>
  <c r="F15" i="97"/>
  <c r="G15" i="97"/>
  <c r="H15" i="97"/>
  <c r="I15" i="97"/>
  <c r="J15" i="97"/>
  <c r="B16" i="97"/>
  <c r="C16" i="97"/>
  <c r="D16" i="97"/>
  <c r="E16" i="97"/>
  <c r="F16" i="97"/>
  <c r="G16" i="97"/>
  <c r="H16" i="97"/>
  <c r="I16" i="97"/>
  <c r="J16" i="97"/>
  <c r="B17" i="97"/>
  <c r="C17" i="97"/>
  <c r="D17" i="97"/>
  <c r="E17" i="97"/>
  <c r="F17" i="97"/>
  <c r="G17" i="97"/>
  <c r="H17" i="97"/>
  <c r="I17" i="97"/>
  <c r="J17" i="97"/>
  <c r="B18" i="97"/>
  <c r="C18" i="97"/>
  <c r="D18" i="97"/>
  <c r="E18" i="97"/>
  <c r="F18" i="97"/>
  <c r="G18" i="97"/>
  <c r="H18" i="97"/>
  <c r="I18" i="97"/>
  <c r="J18" i="97"/>
  <c r="B19" i="97"/>
  <c r="C19" i="97"/>
  <c r="D19" i="97"/>
  <c r="E19" i="97"/>
  <c r="F19" i="97"/>
  <c r="G19" i="97"/>
  <c r="H19" i="97"/>
  <c r="I19" i="97"/>
  <c r="K19" i="97" s="1"/>
  <c r="J19" i="97"/>
  <c r="A9" i="97"/>
  <c r="A10" i="97" s="1"/>
  <c r="A11" i="97" s="1"/>
  <c r="A12" i="97" s="1"/>
  <c r="A13" i="97" s="1"/>
  <c r="A14" i="97" s="1"/>
  <c r="A15" i="97" s="1"/>
  <c r="A16" i="97" s="1"/>
  <c r="A17" i="97" s="1"/>
  <c r="A18" i="97" s="1"/>
  <c r="A19" i="97" s="1"/>
  <c r="B9" i="97"/>
  <c r="C9" i="97"/>
  <c r="D9" i="97"/>
  <c r="E9" i="97"/>
  <c r="F9" i="97"/>
  <c r="G9" i="97"/>
  <c r="H9" i="97"/>
  <c r="I9" i="97"/>
  <c r="J9" i="97"/>
  <c r="K13" i="97" l="1"/>
  <c r="K16" i="97"/>
  <c r="K18" i="97"/>
  <c r="K12" i="97"/>
  <c r="K17" i="97"/>
  <c r="K9" i="97"/>
  <c r="H23" i="99"/>
  <c r="K8" i="99"/>
  <c r="K15" i="97"/>
  <c r="K14" i="97"/>
  <c r="K23" i="99" l="1"/>
  <c r="I23" i="99"/>
  <c r="G8" i="97" l="1"/>
  <c r="F8" i="97"/>
  <c r="E8" i="97"/>
  <c r="D8" i="97"/>
  <c r="C8" i="97"/>
  <c r="B8" i="97"/>
  <c r="J8" i="97"/>
  <c r="H8" i="97"/>
  <c r="F20" i="97" l="1"/>
  <c r="G20" i="97"/>
  <c r="E20" i="97"/>
  <c r="J20" i="97"/>
  <c r="B9" i="95"/>
  <c r="C9" i="95"/>
  <c r="D9" i="95"/>
  <c r="E9" i="95"/>
  <c r="F9" i="95"/>
  <c r="G9" i="95"/>
  <c r="B10" i="95"/>
  <c r="C10" i="95"/>
  <c r="D10" i="95"/>
  <c r="E10" i="95"/>
  <c r="F10" i="95"/>
  <c r="G10" i="95"/>
  <c r="B11" i="95"/>
  <c r="C11" i="95"/>
  <c r="D11" i="95"/>
  <c r="E11" i="95"/>
  <c r="F11" i="95"/>
  <c r="G11" i="95"/>
  <c r="B12" i="95"/>
  <c r="C12" i="95"/>
  <c r="D12" i="95"/>
  <c r="E12" i="95"/>
  <c r="F12" i="95"/>
  <c r="G12" i="95"/>
  <c r="B13" i="95"/>
  <c r="C13" i="95"/>
  <c r="D13" i="95"/>
  <c r="E13" i="95"/>
  <c r="F13" i="95"/>
  <c r="G13" i="95"/>
  <c r="B14" i="95"/>
  <c r="C14" i="95"/>
  <c r="D14" i="95"/>
  <c r="E14" i="95"/>
  <c r="F14" i="95"/>
  <c r="G14" i="95"/>
  <c r="B15" i="95"/>
  <c r="C15" i="95"/>
  <c r="D15" i="95"/>
  <c r="E15" i="95"/>
  <c r="F15" i="95"/>
  <c r="G15" i="95"/>
  <c r="B16" i="95"/>
  <c r="C16" i="95"/>
  <c r="D16" i="95"/>
  <c r="E16" i="95"/>
  <c r="F16" i="95"/>
  <c r="G16" i="95"/>
  <c r="B17" i="95"/>
  <c r="C17" i="95"/>
  <c r="D17" i="95"/>
  <c r="E17" i="95"/>
  <c r="F17" i="95"/>
  <c r="G17" i="95"/>
  <c r="B18" i="95"/>
  <c r="C18" i="95"/>
  <c r="D18" i="95"/>
  <c r="E18" i="95"/>
  <c r="F18" i="95"/>
  <c r="G18" i="95"/>
  <c r="B19" i="95"/>
  <c r="C19" i="95"/>
  <c r="D19" i="95"/>
  <c r="E19" i="95"/>
  <c r="F19" i="95"/>
  <c r="G19" i="95"/>
  <c r="B20" i="95"/>
  <c r="C20" i="95"/>
  <c r="D20" i="95"/>
  <c r="E20" i="95"/>
  <c r="F20" i="95"/>
  <c r="G20" i="95"/>
  <c r="B21" i="95"/>
  <c r="C21" i="95"/>
  <c r="D21" i="95"/>
  <c r="E21" i="95"/>
  <c r="F21" i="95"/>
  <c r="G21" i="95"/>
  <c r="B22" i="95"/>
  <c r="C22" i="95"/>
  <c r="D22" i="95"/>
  <c r="E22" i="95"/>
  <c r="F22" i="95"/>
  <c r="G22" i="95"/>
  <c r="H20" i="97" l="1"/>
  <c r="I8" i="97"/>
  <c r="I20" i="97" l="1"/>
  <c r="K8" i="97"/>
  <c r="K20" i="97" s="1"/>
  <c r="H16" i="95" l="1"/>
  <c r="J16" i="95"/>
  <c r="H17" i="95"/>
  <c r="J17" i="95"/>
  <c r="I17" i="95" l="1"/>
  <c r="K17" i="95" s="1"/>
  <c r="I16" i="95"/>
  <c r="K16" i="95" s="1"/>
  <c r="H15" i="95"/>
  <c r="J15" i="95"/>
  <c r="I15" i="95" l="1"/>
  <c r="K15" i="95" s="1"/>
  <c r="J9" i="95"/>
  <c r="H10" i="95"/>
  <c r="J10" i="95"/>
  <c r="H11" i="95"/>
  <c r="J11" i="95"/>
  <c r="H12" i="95"/>
  <c r="J12" i="95"/>
  <c r="H13" i="95"/>
  <c r="J13" i="95"/>
  <c r="H14" i="95"/>
  <c r="I14" i="95"/>
  <c r="J14" i="95"/>
  <c r="H18" i="95"/>
  <c r="J18" i="95"/>
  <c r="H19" i="95"/>
  <c r="J19" i="95"/>
  <c r="H20" i="95"/>
  <c r="J20" i="95"/>
  <c r="H21" i="95"/>
  <c r="J21" i="95"/>
  <c r="H22" i="95"/>
  <c r="J22" i="95"/>
  <c r="A9" i="95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G8" i="95"/>
  <c r="F8" i="95"/>
  <c r="E8" i="95"/>
  <c r="D8" i="95"/>
  <c r="C8" i="95"/>
  <c r="B8" i="95"/>
  <c r="K14" i="95" l="1"/>
  <c r="I9" i="95"/>
  <c r="K9" i="95" s="1"/>
  <c r="H9" i="95"/>
  <c r="I10" i="95"/>
  <c r="K10" i="95" s="1"/>
  <c r="I20" i="95"/>
  <c r="K20" i="95" s="1"/>
  <c r="I11" i="95"/>
  <c r="K11" i="95" s="1"/>
  <c r="I18" i="95"/>
  <c r="K18" i="95" s="1"/>
  <c r="I21" i="95"/>
  <c r="K21" i="95" s="1"/>
  <c r="I22" i="95"/>
  <c r="K22" i="95" s="1"/>
  <c r="I12" i="95"/>
  <c r="K12" i="95" s="1"/>
  <c r="E23" i="95"/>
  <c r="I19" i="95"/>
  <c r="K19" i="95" s="1"/>
  <c r="I13" i="95"/>
  <c r="K13" i="95" s="1"/>
  <c r="H8" i="95"/>
  <c r="I8" i="95"/>
  <c r="F23" i="95"/>
  <c r="G23" i="95"/>
  <c r="J8" i="95"/>
  <c r="J23" i="95" s="1"/>
  <c r="B9" i="93"/>
  <c r="C9" i="93"/>
  <c r="D9" i="93"/>
  <c r="E9" i="93"/>
  <c r="F9" i="93"/>
  <c r="G9" i="93"/>
  <c r="B10" i="93"/>
  <c r="C10" i="93"/>
  <c r="D10" i="93"/>
  <c r="E10" i="93"/>
  <c r="F10" i="93"/>
  <c r="G10" i="93"/>
  <c r="B11" i="93"/>
  <c r="C11" i="93"/>
  <c r="D11" i="93"/>
  <c r="E11" i="93"/>
  <c r="F11" i="93"/>
  <c r="G11" i="93"/>
  <c r="B12" i="93"/>
  <c r="C12" i="93"/>
  <c r="D12" i="93"/>
  <c r="E12" i="93"/>
  <c r="F12" i="93"/>
  <c r="G12" i="93"/>
  <c r="B13" i="93"/>
  <c r="C13" i="93"/>
  <c r="D13" i="93"/>
  <c r="E13" i="93"/>
  <c r="F13" i="93"/>
  <c r="G13" i="93"/>
  <c r="B14" i="93"/>
  <c r="C14" i="93"/>
  <c r="D14" i="93"/>
  <c r="E14" i="93"/>
  <c r="F14" i="93"/>
  <c r="G14" i="93"/>
  <c r="B15" i="93"/>
  <c r="C15" i="93"/>
  <c r="D15" i="93"/>
  <c r="E15" i="93"/>
  <c r="F15" i="93"/>
  <c r="G15" i="93"/>
  <c r="B16" i="93"/>
  <c r="C16" i="93"/>
  <c r="D16" i="93"/>
  <c r="E16" i="93"/>
  <c r="F16" i="93"/>
  <c r="G16" i="93"/>
  <c r="B17" i="93"/>
  <c r="C17" i="93"/>
  <c r="D17" i="93"/>
  <c r="E17" i="93"/>
  <c r="F17" i="93"/>
  <c r="G17" i="93"/>
  <c r="B18" i="93"/>
  <c r="C18" i="93"/>
  <c r="D18" i="93"/>
  <c r="E18" i="93"/>
  <c r="F18" i="93"/>
  <c r="G18" i="93"/>
  <c r="B19" i="93"/>
  <c r="C19" i="93"/>
  <c r="D19" i="93"/>
  <c r="E19" i="93"/>
  <c r="F19" i="93"/>
  <c r="G19" i="93"/>
  <c r="B20" i="93"/>
  <c r="C20" i="93"/>
  <c r="D20" i="93"/>
  <c r="E20" i="93"/>
  <c r="F20" i="93"/>
  <c r="G20" i="93"/>
  <c r="B21" i="93"/>
  <c r="C21" i="93"/>
  <c r="D21" i="93"/>
  <c r="E21" i="93"/>
  <c r="F21" i="93"/>
  <c r="G21" i="93"/>
  <c r="B22" i="93"/>
  <c r="C22" i="93"/>
  <c r="D22" i="93"/>
  <c r="E22" i="93"/>
  <c r="F22" i="93"/>
  <c r="G22" i="93"/>
  <c r="B23" i="93"/>
  <c r="C23" i="93"/>
  <c r="D23" i="93"/>
  <c r="E23" i="93"/>
  <c r="F23" i="93"/>
  <c r="G23" i="93"/>
  <c r="H23" i="95" l="1"/>
  <c r="K8" i="95"/>
  <c r="J15" i="93"/>
  <c r="H15" i="93" l="1"/>
  <c r="K23" i="95"/>
  <c r="I23" i="95"/>
  <c r="H17" i="93"/>
  <c r="J17" i="93"/>
  <c r="I17" i="93" l="1"/>
  <c r="K17" i="93" s="1"/>
  <c r="I15" i="93"/>
  <c r="K15" i="93" s="1"/>
  <c r="H12" i="93"/>
  <c r="J12" i="93"/>
  <c r="H13" i="93"/>
  <c r="J13" i="93"/>
  <c r="H14" i="93"/>
  <c r="J14" i="93"/>
  <c r="H16" i="93"/>
  <c r="J16" i="93"/>
  <c r="H18" i="93"/>
  <c r="J18" i="93"/>
  <c r="H19" i="93"/>
  <c r="J19" i="93"/>
  <c r="H20" i="93"/>
  <c r="J20" i="93"/>
  <c r="H21" i="93"/>
  <c r="J21" i="93"/>
  <c r="H22" i="93"/>
  <c r="J22" i="93"/>
  <c r="H23" i="93"/>
  <c r="J23" i="93"/>
  <c r="H9" i="93"/>
  <c r="J9" i="93"/>
  <c r="H10" i="93"/>
  <c r="J10" i="93"/>
  <c r="H11" i="93"/>
  <c r="J11" i="93"/>
  <c r="I16" i="93" l="1"/>
  <c r="K16" i="93" s="1"/>
  <c r="I14" i="93"/>
  <c r="K14" i="93" s="1"/>
  <c r="I13" i="93"/>
  <c r="K13" i="93" s="1"/>
  <c r="I9" i="93"/>
  <c r="K9" i="93" s="1"/>
  <c r="I20" i="93"/>
  <c r="K20" i="93" s="1"/>
  <c r="I10" i="93"/>
  <c r="K10" i="93" s="1"/>
  <c r="I12" i="93"/>
  <c r="K12" i="93" s="1"/>
  <c r="I11" i="93"/>
  <c r="K11" i="93" s="1"/>
  <c r="I21" i="93"/>
  <c r="K21" i="93" s="1"/>
  <c r="I18" i="93"/>
  <c r="K18" i="93" s="1"/>
  <c r="I22" i="93"/>
  <c r="K22" i="93" s="1"/>
  <c r="I23" i="93"/>
  <c r="K23" i="93" s="1"/>
  <c r="I19" i="93"/>
  <c r="K19" i="93" s="1"/>
  <c r="A9" i="93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G8" i="93"/>
  <c r="F8" i="93"/>
  <c r="E8" i="93"/>
  <c r="D8" i="93"/>
  <c r="C8" i="93"/>
  <c r="B8" i="93"/>
  <c r="J8" i="93"/>
  <c r="F24" i="93" l="1"/>
  <c r="G24" i="93"/>
  <c r="H8" i="93"/>
  <c r="E24" i="93"/>
  <c r="I8" i="93" l="1"/>
  <c r="H24" i="93"/>
  <c r="J24" i="93" l="1"/>
  <c r="I24" i="93"/>
  <c r="K8" i="93"/>
  <c r="K24" i="93" l="1"/>
  <c r="B9" i="91"/>
  <c r="C9" i="91"/>
  <c r="D9" i="91"/>
  <c r="E9" i="91"/>
  <c r="F9" i="91"/>
  <c r="G9" i="91"/>
  <c r="J9" i="91"/>
  <c r="B10" i="91"/>
  <c r="C10" i="91"/>
  <c r="D10" i="91"/>
  <c r="E10" i="91"/>
  <c r="F10" i="91"/>
  <c r="G10" i="91"/>
  <c r="H10" i="91"/>
  <c r="B11" i="91"/>
  <c r="C11" i="91"/>
  <c r="D11" i="91"/>
  <c r="E11" i="91"/>
  <c r="F11" i="91"/>
  <c r="G11" i="91"/>
  <c r="J11" i="91"/>
  <c r="B12" i="91"/>
  <c r="C12" i="91"/>
  <c r="D12" i="91"/>
  <c r="E12" i="91"/>
  <c r="F12" i="91"/>
  <c r="G12" i="91"/>
  <c r="B13" i="91"/>
  <c r="C13" i="91"/>
  <c r="D13" i="91"/>
  <c r="E13" i="91"/>
  <c r="F13" i="91"/>
  <c r="G13" i="91"/>
  <c r="B14" i="91"/>
  <c r="C14" i="91"/>
  <c r="D14" i="91"/>
  <c r="E14" i="91"/>
  <c r="F14" i="91"/>
  <c r="G14" i="91"/>
  <c r="J14" i="91"/>
  <c r="B15" i="91"/>
  <c r="C15" i="91"/>
  <c r="D15" i="91"/>
  <c r="E15" i="91"/>
  <c r="F15" i="91"/>
  <c r="G15" i="91"/>
  <c r="B16" i="91"/>
  <c r="C16" i="91"/>
  <c r="D16" i="91"/>
  <c r="E16" i="91"/>
  <c r="F16" i="91"/>
  <c r="G16" i="91"/>
  <c r="J16" i="91"/>
  <c r="B17" i="91"/>
  <c r="C17" i="91"/>
  <c r="D17" i="91"/>
  <c r="E17" i="91"/>
  <c r="F17" i="91"/>
  <c r="G17" i="91"/>
  <c r="B18" i="91"/>
  <c r="C18" i="91"/>
  <c r="D18" i="91"/>
  <c r="E18" i="91"/>
  <c r="F18" i="91"/>
  <c r="G18" i="91"/>
  <c r="J18" i="91"/>
  <c r="B19" i="91"/>
  <c r="C19" i="91"/>
  <c r="D19" i="91"/>
  <c r="E19" i="91"/>
  <c r="F19" i="91"/>
  <c r="G19" i="91"/>
  <c r="J19" i="91"/>
  <c r="A9" i="9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G8" i="91"/>
  <c r="F8" i="91"/>
  <c r="E8" i="91"/>
  <c r="D8" i="91"/>
  <c r="C8" i="91"/>
  <c r="B8" i="91"/>
  <c r="I19" i="91"/>
  <c r="J17" i="91"/>
  <c r="H17" i="91"/>
  <c r="H16" i="91"/>
  <c r="J15" i="91"/>
  <c r="I15" i="91"/>
  <c r="I14" i="91"/>
  <c r="J13" i="91"/>
  <c r="J12" i="91"/>
  <c r="I12" i="91"/>
  <c r="H11" i="91"/>
  <c r="J10" i="91"/>
  <c r="I10" i="91"/>
  <c r="H9" i="91"/>
  <c r="J8" i="91"/>
  <c r="H8" i="91"/>
  <c r="K19" i="91" l="1"/>
  <c r="K14" i="91"/>
  <c r="K12" i="91"/>
  <c r="I13" i="91"/>
  <c r="K13" i="91" s="1"/>
  <c r="K10" i="91"/>
  <c r="K15" i="91"/>
  <c r="H12" i="91"/>
  <c r="I11" i="91"/>
  <c r="K11" i="91" s="1"/>
  <c r="H15" i="91"/>
  <c r="H13" i="91"/>
  <c r="H19" i="91"/>
  <c r="H14" i="91"/>
  <c r="E20" i="91"/>
  <c r="F20" i="91"/>
  <c r="H18" i="91"/>
  <c r="G20" i="91"/>
  <c r="I8" i="91"/>
  <c r="J20" i="91"/>
  <c r="I17" i="91"/>
  <c r="K17" i="91" s="1"/>
  <c r="I16" i="91"/>
  <c r="K16" i="91" s="1"/>
  <c r="I9" i="91"/>
  <c r="K9" i="91" s="1"/>
  <c r="B10" i="65"/>
  <c r="C10" i="65"/>
  <c r="D10" i="65"/>
  <c r="E10" i="65"/>
  <c r="F10" i="65"/>
  <c r="G10" i="65"/>
  <c r="B11" i="65"/>
  <c r="C11" i="65"/>
  <c r="D11" i="65"/>
  <c r="E11" i="65"/>
  <c r="F11" i="65"/>
  <c r="G11" i="65"/>
  <c r="B12" i="65"/>
  <c r="C12" i="65"/>
  <c r="D12" i="65"/>
  <c r="E12" i="65"/>
  <c r="F12" i="65"/>
  <c r="G12" i="65"/>
  <c r="B13" i="65"/>
  <c r="C13" i="65"/>
  <c r="D13" i="65"/>
  <c r="E13" i="65"/>
  <c r="F13" i="65"/>
  <c r="G13" i="65"/>
  <c r="B14" i="65"/>
  <c r="C14" i="65"/>
  <c r="D14" i="65"/>
  <c r="E14" i="65"/>
  <c r="F14" i="65"/>
  <c r="G14" i="65"/>
  <c r="B15" i="65"/>
  <c r="C15" i="65"/>
  <c r="D15" i="65"/>
  <c r="E15" i="65"/>
  <c r="F15" i="65"/>
  <c r="G15" i="65"/>
  <c r="B16" i="65"/>
  <c r="C16" i="65"/>
  <c r="D16" i="65"/>
  <c r="E16" i="65"/>
  <c r="F16" i="65"/>
  <c r="G16" i="65"/>
  <c r="B17" i="65"/>
  <c r="C17" i="65"/>
  <c r="D17" i="65"/>
  <c r="E17" i="65"/>
  <c r="F17" i="65"/>
  <c r="G17" i="65"/>
  <c r="B18" i="65"/>
  <c r="C18" i="65"/>
  <c r="D18" i="65"/>
  <c r="E18" i="65"/>
  <c r="F18" i="65"/>
  <c r="G18" i="65"/>
  <c r="H18" i="65"/>
  <c r="B19" i="65"/>
  <c r="C19" i="65"/>
  <c r="D19" i="65"/>
  <c r="E19" i="65"/>
  <c r="F19" i="65"/>
  <c r="G19" i="65"/>
  <c r="B20" i="65"/>
  <c r="C20" i="65"/>
  <c r="D20" i="65"/>
  <c r="E20" i="65"/>
  <c r="F20" i="65"/>
  <c r="G20" i="65"/>
  <c r="B21" i="65"/>
  <c r="C21" i="65"/>
  <c r="D21" i="65"/>
  <c r="E21" i="65"/>
  <c r="F21" i="65"/>
  <c r="G21" i="65"/>
  <c r="B22" i="65"/>
  <c r="C22" i="65"/>
  <c r="D22" i="65"/>
  <c r="E22" i="65"/>
  <c r="F22" i="65"/>
  <c r="G22" i="65"/>
  <c r="B23" i="65"/>
  <c r="C23" i="65"/>
  <c r="D23" i="65"/>
  <c r="F23" i="65"/>
  <c r="G23" i="65"/>
  <c r="B24" i="65"/>
  <c r="C24" i="65"/>
  <c r="D24" i="65"/>
  <c r="E24" i="65"/>
  <c r="F24" i="65"/>
  <c r="G24" i="65"/>
  <c r="H20" i="91" l="1"/>
  <c r="I18" i="91"/>
  <c r="K18" i="91" s="1"/>
  <c r="K8" i="91"/>
  <c r="E23" i="65"/>
  <c r="K20" i="91" l="1"/>
  <c r="I20" i="91"/>
  <c r="J11" i="65"/>
  <c r="J21" i="65" l="1"/>
  <c r="H21" i="65" l="1"/>
  <c r="J10" i="65"/>
  <c r="J12" i="65"/>
  <c r="J13" i="65"/>
  <c r="J14" i="65"/>
  <c r="J15" i="65"/>
  <c r="J16" i="65"/>
  <c r="J17" i="65"/>
  <c r="I18" i="65"/>
  <c r="J18" i="65"/>
  <c r="J19" i="65"/>
  <c r="J20" i="65"/>
  <c r="J22" i="65"/>
  <c r="J23" i="65"/>
  <c r="J24" i="65"/>
  <c r="I21" i="65" l="1"/>
  <c r="K21" i="65" s="1"/>
  <c r="I13" i="65"/>
  <c r="K13" i="65" s="1"/>
  <c r="H13" i="65"/>
  <c r="I14" i="65"/>
  <c r="K14" i="65" s="1"/>
  <c r="H14" i="65"/>
  <c r="I15" i="65"/>
  <c r="K15" i="65" s="1"/>
  <c r="H15" i="65"/>
  <c r="H10" i="65"/>
  <c r="I19" i="65"/>
  <c r="K19" i="65" s="1"/>
  <c r="H19" i="65"/>
  <c r="I23" i="65"/>
  <c r="K23" i="65" s="1"/>
  <c r="H23" i="65"/>
  <c r="K18" i="65"/>
  <c r="I16" i="65"/>
  <c r="K16" i="65" s="1"/>
  <c r="H16" i="65"/>
  <c r="I11" i="65"/>
  <c r="K11" i="65" s="1"/>
  <c r="H11" i="65"/>
  <c r="I12" i="65"/>
  <c r="K12" i="65" s="1"/>
  <c r="H12" i="65"/>
  <c r="I20" i="65"/>
  <c r="K20" i="65" s="1"/>
  <c r="H20" i="65"/>
  <c r="I22" i="65"/>
  <c r="K22" i="65" s="1"/>
  <c r="H22" i="65"/>
  <c r="I24" i="65"/>
  <c r="K24" i="65" s="1"/>
  <c r="H24" i="65"/>
  <c r="H17" i="65"/>
  <c r="I17" i="65" l="1"/>
  <c r="K17" i="65" s="1"/>
  <c r="I10" i="65"/>
  <c r="K10" i="65" s="1"/>
  <c r="J9" i="65"/>
  <c r="J8" i="65"/>
  <c r="G9" i="65"/>
  <c r="F9" i="65"/>
  <c r="E9" i="65"/>
  <c r="D9" i="65"/>
  <c r="C9" i="65"/>
  <c r="B9" i="65"/>
  <c r="A9" i="65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G8" i="65"/>
  <c r="F8" i="65"/>
  <c r="E8" i="65"/>
  <c r="D8" i="65"/>
  <c r="C8" i="65"/>
  <c r="B8" i="65"/>
  <c r="H8" i="65" l="1"/>
  <c r="F25" i="65"/>
  <c r="E25" i="65"/>
  <c r="G25" i="65"/>
  <c r="I8" i="65"/>
  <c r="H9" i="65"/>
  <c r="J25" i="65"/>
  <c r="H25" i="65" l="1"/>
  <c r="K8" i="65"/>
  <c r="I9" i="65"/>
  <c r="K9" i="65" s="1"/>
  <c r="I25" i="65" l="1"/>
  <c r="K25" i="65"/>
</calcChain>
</file>

<file path=xl/sharedStrings.xml><?xml version="1.0" encoding="utf-8"?>
<sst xmlns="http://schemas.openxmlformats.org/spreadsheetml/2006/main" count="594" uniqueCount="145">
  <si>
    <t>TỔNG CÔNG TY CP CÔNG TRÌNH VIETTEL</t>
  </si>
  <si>
    <t>PHÒNG TỔ CHỨC LAO ĐỘNG</t>
  </si>
  <si>
    <t>STT</t>
  </si>
  <si>
    <t>Tên khoản thu nhập</t>
  </si>
  <si>
    <t>Kỳ lương</t>
  </si>
  <si>
    <t>Kỳ trả</t>
  </si>
  <si>
    <t>Số liệu P.TCLĐ</t>
  </si>
  <si>
    <t>Số hạch toán Phòng Tài chính
(4)</t>
  </si>
  <si>
    <t>Số thuế TNCN chốt kê khai tháng
(5)=(1)+(2)</t>
  </si>
  <si>
    <t>Chênh lệch thực thu và chốt KK
(6)=(4)-(5)</t>
  </si>
  <si>
    <t>Lý do chênh lệch</t>
  </si>
  <si>
    <t>Tổng thực thu
(4)=(1)+(2)+(3)</t>
  </si>
  <si>
    <t>Tổng</t>
  </si>
  <si>
    <t>Số liệu TCLĐ</t>
  </si>
  <si>
    <t>Số liệu thuế TNCN Tài chính hạch toán</t>
  </si>
  <si>
    <t>Số thuế TNCN kê khai tháng này</t>
  </si>
  <si>
    <t>Số chênh lệch giữa KK và hạch toán</t>
  </si>
  <si>
    <t>Lý do lệch KK và hạch toán</t>
  </si>
  <si>
    <t>Lương và các khoản phụ cấp</t>
  </si>
  <si>
    <t>Các khoản giảm trừ</t>
  </si>
  <si>
    <t>Thực nhận</t>
  </si>
  <si>
    <t>Thu nhập chịu thuế</t>
  </si>
  <si>
    <t>Thu nhập miễn thuế</t>
  </si>
  <si>
    <t>Lương 
chịu thuế</t>
  </si>
  <si>
    <t>Lương 
miễn thuế</t>
  </si>
  <si>
    <t>Tổng lương</t>
  </si>
  <si>
    <t>Ăn ca</t>
  </si>
  <si>
    <t>ĐT</t>
  </si>
  <si>
    <t>Tổng cộng</t>
  </si>
  <si>
    <t>BHXH</t>
  </si>
  <si>
    <t>Thuế kê khai</t>
  </si>
  <si>
    <t>Thuế truy thu tháng trước</t>
  </si>
  <si>
    <t>Thuế truy thu năm trước</t>
  </si>
  <si>
    <t>Tổng thuế thực thu</t>
  </si>
  <si>
    <t>(1)</t>
  </si>
  <si>
    <t>(2)</t>
  </si>
  <si>
    <t>(3) = (1)+(2)</t>
  </si>
  <si>
    <t>(4)</t>
  </si>
  <si>
    <t>(5)</t>
  </si>
  <si>
    <t>(6)</t>
  </si>
  <si>
    <t>(7) =(3)+(4)+(5)+(6)</t>
  </si>
  <si>
    <t>(8)</t>
  </si>
  <si>
    <t>(9)</t>
  </si>
  <si>
    <t>(10)</t>
  </si>
  <si>
    <t>(11)</t>
  </si>
  <si>
    <t>(12) = (9)+(10)+(11)</t>
  </si>
  <si>
    <t>(13)=(7)-(8)-(12)</t>
  </si>
  <si>
    <t>(14)=(1)+(4)</t>
  </si>
  <si>
    <t>(15)=(2)+(5)+(6)</t>
  </si>
  <si>
    <t>(16) = (12)</t>
  </si>
  <si>
    <t>(17)=(9)+(10)</t>
  </si>
  <si>
    <t>(18)</t>
  </si>
  <si>
    <t>(19)</t>
  </si>
  <si>
    <t>CỘNG HÒA XÃ HỘI CHỦ NGHĨA VIỆT NAM</t>
  </si>
  <si>
    <t>Độc lập - Tự do - Hạnh phúc</t>
  </si>
  <si>
    <t>CP, phụ cấp khác</t>
  </si>
  <si>
    <t>PHÒNG TÀI CHÍNH KẾ TOÁN</t>
  </si>
  <si>
    <t>Thuế kê khai tháng này (1)</t>
  </si>
  <si>
    <t>Thuế truy thu tháng trước (2)</t>
  </si>
  <si>
    <t>Truy thu năm trước (3)</t>
  </si>
  <si>
    <t>TỔNG</t>
  </si>
  <si>
    <t>BẢNG TỔNG HỢP ĐỐI CHIẾU CÁC KHOẢN THU NHẬP THÁNG 01/2023</t>
  </si>
  <si>
    <t>Khấu trừ thuế Quà ngày TL QĐ NDVN 22/12 và Tết Dương lịch 01/01/2023</t>
  </si>
  <si>
    <t>Truy thu năm</t>
  </si>
  <si>
    <t>BẢNG TỔNG HỢP ĐỐI CHIẾU CÁC KHOẢN THU NHẬP THÁNG 02/2023</t>
  </si>
  <si>
    <t>BẢNG TỔNG HỢP ĐỐI CHIẾU CÁC KHOẢN THU NHẬP THÁNG 03/2023</t>
  </si>
  <si>
    <t>BẢNG TỔNG HỢP ĐỐI CHIẾU CÁC KHOẢN THU NHẬP THÁNG 04/2023</t>
  </si>
  <si>
    <t>BẢNG TỔNG HỢP ĐỐI CHIẾU CÁC KHOẢN THU NHẬP THÁNG 05/2023</t>
  </si>
  <si>
    <t>BẢNG TỔNG HỢP ĐỐI CHIẾU CÁC KHOẢN THU NHẬP THÁNG 06/2023</t>
  </si>
  <si>
    <t>Miễn thuế đối với TN từ khen thưởng chính quyền, quần chúng cấp TĐ</t>
  </si>
  <si>
    <t>BẢNG TỔNG HỢP ĐỐI CHIẾU CÁC KHOẢN THU NHẬP THÁNG 07/2023</t>
  </si>
  <si>
    <t>BẢNG TỔNG HỢP ĐỐI CHIẾU CÁC KHOẢN THU NHẬP THÁNG 08/2023</t>
  </si>
  <si>
    <t>BẢNG TỔNG HỢP ĐỐI CHIẾU CÁC KHOẢN THU NHẬP THÁNG 09/2023</t>
  </si>
  <si>
    <t>BẢNG TỔNG HỢP ĐỐI CHIẾU CÁC KHOẢN THU NHẬP THÁNG 10/2023</t>
  </si>
  <si>
    <t>11-2023</t>
  </si>
  <si>
    <t>12-2023</t>
  </si>
  <si>
    <t>01-2024</t>
  </si>
  <si>
    <r>
      <t>PHÒN</t>
    </r>
    <r>
      <rPr>
        <b/>
        <u/>
        <sz val="18"/>
        <color theme="1"/>
        <rFont val="Times New Roman"/>
        <family val="1"/>
      </rPr>
      <t>G TỔ CHỨC LAO</t>
    </r>
    <r>
      <rPr>
        <b/>
        <sz val="18"/>
        <color theme="1"/>
        <rFont val="Times New Roman"/>
        <family val="1"/>
      </rPr>
      <t xml:space="preserve"> ĐỘNG</t>
    </r>
  </si>
  <si>
    <t>BẢNG TỔNG HỢP ĐỐI CHIẾU CÁC KHOẢN THU NHẬP THÁNG 01/2024</t>
  </si>
  <si>
    <t>Lương/Thù lao quyết toán T12.2023_HTTT</t>
  </si>
  <si>
    <t>Lương/Thù lao quyết toán T12.2023_KCQ &amp; TT</t>
  </si>
  <si>
    <t>Lương/Thù lao quyết toán T12.2023_63 CNCT</t>
  </si>
  <si>
    <t>Thù lao CTV máy nổ T11.2023_lần 1</t>
  </si>
  <si>
    <t>Thù lao CTV máy nổ T12.2023_lần 1</t>
  </si>
  <si>
    <t>Lương XD trạm HTCT tháng 11.2023</t>
  </si>
  <si>
    <t>TĐ cấp quà Tết Nguyên Đán năm 2024</t>
  </si>
  <si>
    <t>TCTCT cấp lương năng suất năm 2023</t>
  </si>
  <si>
    <t>TCTCT cấp quà Tết Nguyên Đán năm 2024</t>
  </si>
  <si>
    <t>Thu nhập khác TTHT T01.2024</t>
  </si>
  <si>
    <t>Vãng lai khác ĐTHT T01.2024</t>
  </si>
  <si>
    <t>Vãng lai/Thu nhập khác KCQ T01.2024</t>
  </si>
  <si>
    <t>Vãng lai/Thu nhập khác CNCT T01.2024</t>
  </si>
  <si>
    <t>Thu nhập khác GP&amp;DVKT T01.2024</t>
  </si>
  <si>
    <t>Lương/Thù lao quyết toán T01.2024_63 CNCT</t>
  </si>
  <si>
    <t>02-2024</t>
  </si>
  <si>
    <t>Lương/Thù lao quyết toán T01.2024_KCQ &amp; TT</t>
  </si>
  <si>
    <t>Lương/Thù lao quyết toán T01.2024_HTTT</t>
  </si>
  <si>
    <t>Lương/Thù lao Quý IV.2023 - KCQ &amp; TT</t>
  </si>
  <si>
    <t>Lương/thù lao SXKD năm 2023 - 63 CNCT</t>
  </si>
  <si>
    <t>Lương/Thù lao Quý IV.2023 - 63 CNCT</t>
  </si>
  <si>
    <t>Lương XD trạm HTCT tháng 12.2023</t>
  </si>
  <si>
    <t>Lương chuyên cần năm 2023</t>
  </si>
  <si>
    <t>Lương/Thù lao Quý IV.2023 - HTTT</t>
  </si>
  <si>
    <t>Lương/thù lao SXKD năm 2023 - HTTT</t>
  </si>
  <si>
    <t>Lương/thù lao SXKD năm 2023 - KCQ &amp; TT</t>
  </si>
  <si>
    <t>Thù lao CTV máy nổ T01.2024</t>
  </si>
  <si>
    <t>Thu nhập khác GP&amp;DVKT T02.2024</t>
  </si>
  <si>
    <t>Thu nhập khác TTHT T02.2024</t>
  </si>
  <si>
    <t>Vãng lai khác ĐTHT T02.2024</t>
  </si>
  <si>
    <t>Vãng lai/Thu nhập khác KCQ T02.2024</t>
  </si>
  <si>
    <t>Vãng lai/Thu nhập khác CNCT T02.2024</t>
  </si>
  <si>
    <t>BẢNG TỔNG HỢP ĐỐI CHIẾU CÁC KHOẢN THU NHẬP THÁNG 02/2024</t>
  </si>
  <si>
    <t>BẢNG TỔNG HỢP ĐỐI CHIẾU CÁC KHOẢN THU NHẬP THÁNG 03/2024</t>
  </si>
  <si>
    <t>Lương/Thù lao quyết toán T02.2024_KCQ &amp; TT</t>
  </si>
  <si>
    <t>03-2024</t>
  </si>
  <si>
    <t>Lương/Thù lao quyết toán T02.2024_63 CNCT</t>
  </si>
  <si>
    <t>Lương/Thù lao quyết toán T02.2024_HTTT</t>
  </si>
  <si>
    <t>Thù lao CTV máy nổ T2.2024</t>
  </si>
  <si>
    <t>Lương XD trạm HTCT tháng 01.2024</t>
  </si>
  <si>
    <t>Lương/Thù lao bổ sung tháng 12/2023 - 63 CNCT</t>
  </si>
  <si>
    <t>Lương/Thù lao bổ sung tháng 12/2023 - KCQ &amp; TT</t>
  </si>
  <si>
    <t>Lương làm thêm ngày lễ 22/12/2023</t>
  </si>
  <si>
    <t>Lương làm thêm Tết Dương lịch 01/01/2024</t>
  </si>
  <si>
    <t>Truy thu năm (quyết toán nộp thiếu)</t>
  </si>
  <si>
    <t>- Miễn thuế khoản chi từ quỹ công đoàn
- Miễn thuế khoản khen thưởng chính quyền CSTĐ LĐTT</t>
  </si>
  <si>
    <t>Miễn thuế làm thêm đối tượng TDS</t>
  </si>
  <si>
    <t>Thu nhập khác GP&amp;DVKT T03.2024</t>
  </si>
  <si>
    <t>Thu nhập khác TTHT T03.2024</t>
  </si>
  <si>
    <t>Vãng lai/Thu nhập khác KCQ T03.2024</t>
  </si>
  <si>
    <t>Vãng lai/Thu nhập khác CNCT T03.2024</t>
  </si>
  <si>
    <t>${ten_khoan_thu_nhap}</t>
  </si>
  <si>
    <t>${ky_luong}</t>
  </si>
  <si>
    <t>${ky_tra}</t>
  </si>
  <si>
    <t>${luong_chiu_thue}</t>
  </si>
  <si>
    <t>${luong_mien_thue}</t>
  </si>
  <si>
    <t>${bao_hiem}</t>
  </si>
  <si>
    <t>${thue_ke_khai}</t>
  </si>
  <si>
    <t>BẢNG TỔNG HỢP ĐỐI CHIẾU CÁC KHOẢN THU NHẬP ${ky_bao_cao}</t>
  </si>
  <si>
    <t>${phu_cap_dien_thoai}</t>
  </si>
  <si>
    <t>${phu_cap_khac}</t>
  </si>
  <si>
    <t>${thue_truy_thu_thang}</t>
  </si>
  <si>
    <t>${thue_truy_thu_nam}</t>
  </si>
  <si>
    <t>${phu_cap_an_ca}</t>
  </si>
  <si>
    <t>${stt}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</si>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</sst>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  <charset val="163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2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17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113">
    <xf numFmtId="0" fontId="0" fillId="0" borderId="0" xfId="0"/>
    <xf numFmtId="0" fontId="4" fillId="2" borderId="0" xfId="0" applyFont="1" applyFill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164" fontId="5" fillId="0" borderId="0" xfId="1" applyNumberFormat="1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3" fontId="7" fillId="0" borderId="1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3" fontId="11" fillId="2" borderId="4" xfId="0" applyNumberFormat="1" applyFont="1" applyFill="1" applyBorder="1" applyAlignment="1">
      <alignment vertical="center" wrapText="1"/>
    </xf>
    <xf numFmtId="3" fontId="9" fillId="0" borderId="4" xfId="2" applyNumberFormat="1" applyFont="1" applyBorder="1" applyAlignment="1">
      <alignment vertical="center" wrapText="1"/>
    </xf>
    <xf numFmtId="3" fontId="8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164" fontId="5" fillId="2" borderId="0" xfId="1" applyNumberFormat="1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3" fontId="15" fillId="0" borderId="0" xfId="0" applyNumberFormat="1" applyFont="1"/>
    <xf numFmtId="0" fontId="11" fillId="2" borderId="4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3" fontId="11" fillId="2" borderId="7" xfId="0" applyNumberFormat="1" applyFont="1" applyFill="1" applyBorder="1" applyAlignment="1">
      <alignment vertical="center" wrapText="1"/>
    </xf>
    <xf numFmtId="3" fontId="1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41" fontId="17" fillId="0" borderId="0" xfId="0" applyNumberFormat="1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" fontId="4" fillId="0" borderId="0" xfId="0" applyNumberFormat="1" applyFont="1" applyAlignment="1">
      <alignment wrapText="1"/>
    </xf>
    <xf numFmtId="0" fontId="21" fillId="0" borderId="0" xfId="0" applyFont="1" applyAlignment="1">
      <alignment vertical="center"/>
    </xf>
    <xf numFmtId="3" fontId="3" fillId="0" borderId="1" xfId="0" applyNumberFormat="1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vertical="center" wrapText="1"/>
    </xf>
    <xf numFmtId="3" fontId="3" fillId="0" borderId="1" xfId="1" applyNumberFormat="1" applyFont="1" applyFill="1" applyBorder="1" applyAlignment="1" applyProtection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3" fontId="3" fillId="0" borderId="1" xfId="0" quotePrefix="1" applyNumberFormat="1" applyFont="1" applyBorder="1" applyAlignment="1">
      <alignment horizontal="center" vertical="center" wrapText="1"/>
    </xf>
    <xf numFmtId="41" fontId="20" fillId="0" borderId="6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2" fillId="0" borderId="7" xfId="0" quotePrefix="1" applyFont="1" applyBorder="1" applyAlignment="1">
      <alignment vertical="center" wrapText="1"/>
    </xf>
    <xf numFmtId="0" fontId="21" fillId="0" borderId="1" xfId="0" quotePrefix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41" fontId="21" fillId="0" borderId="6" xfId="0" applyNumberFormat="1" applyFont="1" applyBorder="1" applyAlignment="1">
      <alignment vertical="center" wrapText="1"/>
    </xf>
    <xf numFmtId="0" fontId="21" fillId="0" borderId="0" xfId="0" applyFont="1"/>
    <xf numFmtId="3" fontId="21" fillId="0" borderId="0" xfId="0" applyNumberFormat="1" applyFont="1"/>
    <xf numFmtId="0" fontId="4" fillId="0" borderId="7" xfId="0" applyFont="1" applyBorder="1" applyAlignment="1">
      <alignment horizontal="center" vertical="center" wrapText="1"/>
    </xf>
    <xf numFmtId="0" fontId="21" fillId="0" borderId="7" xfId="0" quotePrefix="1" applyFont="1" applyBorder="1" applyAlignment="1">
      <alignment horizontal="center" vertical="center" wrapText="1"/>
    </xf>
    <xf numFmtId="3" fontId="21" fillId="0" borderId="7" xfId="0" applyNumberFormat="1" applyFont="1" applyBorder="1" applyAlignment="1">
      <alignment vertical="center" wrapText="1"/>
    </xf>
    <xf numFmtId="3" fontId="4" fillId="0" borderId="7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 wrapText="1"/>
    </xf>
    <xf numFmtId="41" fontId="3" fillId="0" borderId="6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21" fillId="0" borderId="0" xfId="0" quotePrefix="1" applyFont="1" applyAlignment="1">
      <alignment horizontal="center" vertical="center" wrapText="1"/>
    </xf>
    <xf numFmtId="0" fontId="4" fillId="0" borderId="0" xfId="0" applyFont="1"/>
    <xf numFmtId="3" fontId="4" fillId="0" borderId="0" xfId="0" applyNumberFormat="1" applyFont="1"/>
    <xf numFmtId="165" fontId="4" fillId="0" borderId="5" xfId="0" applyNumberFormat="1" applyFont="1" applyBorder="1" applyAlignment="1">
      <alignment wrapText="1"/>
    </xf>
    <xf numFmtId="41" fontId="8" fillId="0" borderId="0" xfId="0" applyNumberFormat="1" applyFont="1"/>
    <xf numFmtId="0" fontId="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0" xfId="0" applyFont="1"/>
    <xf numFmtId="3" fontId="18" fillId="0" borderId="0" xfId="0" applyNumberFormat="1" applyFont="1"/>
    <xf numFmtId="3" fontId="23" fillId="0" borderId="0" xfId="0" applyNumberFormat="1" applyFont="1"/>
    <xf numFmtId="41" fontId="18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3" fontId="8" fillId="0" borderId="0" xfId="0" applyNumberFormat="1" applyFont="1"/>
    <xf numFmtId="0" fontId="22" fillId="3" borderId="7" xfId="0" quotePrefix="1" applyFont="1" applyFill="1" applyBorder="1" applyAlignment="1">
      <alignment vertical="center" wrapText="1"/>
    </xf>
    <xf numFmtId="3" fontId="4" fillId="0" borderId="7" xfId="0" quotePrefix="1" applyNumberFormat="1" applyFont="1" applyBorder="1" applyAlignment="1">
      <alignment vertical="center" wrapText="1"/>
    </xf>
    <xf numFmtId="49" fontId="21" fillId="0" borderId="1" xfId="0" quotePrefix="1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vertical="center" wrapText="1"/>
    </xf>
    <xf numFmtId="41" fontId="20" fillId="0" borderId="6" xfId="1" applyNumberFormat="1" applyFont="1" applyFill="1" applyBorder="1" applyAlignment="1" applyProtection="1">
      <alignment horizontal="center" vertical="center" wrapText="1"/>
    </xf>
    <xf numFmtId="3" fontId="17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64" fontId="7" fillId="0" borderId="1" xfId="1" applyNumberFormat="1" applyFont="1" applyFill="1" applyBorder="1" applyAlignment="1" applyProtection="1">
      <alignment horizontal="center" vertical="center" wrapText="1"/>
    </xf>
    <xf numFmtId="164" fontId="7" fillId="0" borderId="2" xfId="1" applyNumberFormat="1" applyFont="1" applyFill="1" applyBorder="1" applyAlignment="1" applyProtection="1">
      <alignment horizontal="center" vertical="center" wrapText="1"/>
    </xf>
    <xf numFmtId="164" fontId="7" fillId="0" borderId="3" xfId="1" applyNumberFormat="1" applyFont="1" applyFill="1" applyBorder="1" applyAlignment="1" applyProtection="1">
      <alignment horizontal="center" vertical="center" wrapText="1"/>
    </xf>
    <xf numFmtId="37" fontId="7" fillId="2" borderId="1" xfId="1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1266825</xdr:colOff>
      <xdr:row>1</xdr:row>
      <xdr:rowOff>207869</xdr:rowOff>
    </xdr:from>
    <xdr:to>
      <xdr:col>10</xdr:col>
      <xdr:colOff>381000</xdr:colOff>
      <xdr:row>1</xdr:row>
      <xdr:rowOff>207869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9667875" y="484094"/>
          <a:ext cx="1771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387163</xdr:colOff>
      <xdr:row>1</xdr:row>
      <xdr:rowOff>219075</xdr:rowOff>
    </xdr:from>
    <xdr:to>
      <xdr:col>1</xdr:col>
      <xdr:colOff>1815913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796738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1266825</xdr:colOff>
      <xdr:row>1</xdr:row>
      <xdr:rowOff>207869</xdr:rowOff>
    </xdr:from>
    <xdr:to>
      <xdr:col>10</xdr:col>
      <xdr:colOff>381000</xdr:colOff>
      <xdr:row>1</xdr:row>
      <xdr:rowOff>207869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9667875" y="484094"/>
          <a:ext cx="1771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387163</xdr:colOff>
      <xdr:row>1</xdr:row>
      <xdr:rowOff>219075</xdr:rowOff>
    </xdr:from>
    <xdr:to>
      <xdr:col>1</xdr:col>
      <xdr:colOff>1815913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796738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1266825</xdr:colOff>
      <xdr:row>1</xdr:row>
      <xdr:rowOff>207869</xdr:rowOff>
    </xdr:from>
    <xdr:to>
      <xdr:col>10</xdr:col>
      <xdr:colOff>381000</xdr:colOff>
      <xdr:row>1</xdr:row>
      <xdr:rowOff>207869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9667875" y="484094"/>
          <a:ext cx="1771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387163</xdr:colOff>
      <xdr:row>1</xdr:row>
      <xdr:rowOff>219075</xdr:rowOff>
    </xdr:from>
    <xdr:to>
      <xdr:col>1</xdr:col>
      <xdr:colOff>1815913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796738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1266825</xdr:colOff>
      <xdr:row>1</xdr:row>
      <xdr:rowOff>207869</xdr:rowOff>
    </xdr:from>
    <xdr:to>
      <xdr:col>10</xdr:col>
      <xdr:colOff>381000</xdr:colOff>
      <xdr:row>1</xdr:row>
      <xdr:rowOff>207869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9667875" y="484094"/>
          <a:ext cx="1771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387163</xdr:colOff>
      <xdr:row>1</xdr:row>
      <xdr:rowOff>219075</xdr:rowOff>
    </xdr:from>
    <xdr:to>
      <xdr:col>1</xdr:col>
      <xdr:colOff>1815913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801781" y="499222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1165412</xdr:colOff>
      <xdr:row>1</xdr:row>
      <xdr:rowOff>219075</xdr:rowOff>
    </xdr:from>
    <xdr:to>
      <xdr:col>10</xdr:col>
      <xdr:colOff>257736</xdr:colOff>
      <xdr:row>1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9566462" y="495300"/>
          <a:ext cx="17497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</xdr:row>
      <xdr:rowOff>219075</xdr:rowOff>
    </xdr:from>
    <xdr:to>
      <xdr:col>1</xdr:col>
      <xdr:colOff>1838325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819150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1165412</xdr:colOff>
      <xdr:row>1</xdr:row>
      <xdr:rowOff>219075</xdr:rowOff>
    </xdr:from>
    <xdr:to>
      <xdr:col>10</xdr:col>
      <xdr:colOff>257736</xdr:colOff>
      <xdr:row>1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9566462" y="495300"/>
          <a:ext cx="17497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</xdr:row>
      <xdr:rowOff>219075</xdr:rowOff>
    </xdr:from>
    <xdr:to>
      <xdr:col>1</xdr:col>
      <xdr:colOff>1838325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819150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1165412</xdr:colOff>
      <xdr:row>1</xdr:row>
      <xdr:rowOff>219075</xdr:rowOff>
    </xdr:from>
    <xdr:to>
      <xdr:col>10</xdr:col>
      <xdr:colOff>257736</xdr:colOff>
      <xdr:row>1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9566462" y="495300"/>
          <a:ext cx="17497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</xdr:row>
      <xdr:rowOff>219075</xdr:rowOff>
    </xdr:from>
    <xdr:to>
      <xdr:col>1</xdr:col>
      <xdr:colOff>1838325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819150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1165412</xdr:colOff>
      <xdr:row>1</xdr:row>
      <xdr:rowOff>219075</xdr:rowOff>
    </xdr:from>
    <xdr:to>
      <xdr:col>10</xdr:col>
      <xdr:colOff>257736</xdr:colOff>
      <xdr:row>1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9566462" y="495300"/>
          <a:ext cx="17497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</xdr:row>
      <xdr:rowOff>219075</xdr:rowOff>
    </xdr:from>
    <xdr:to>
      <xdr:col>1</xdr:col>
      <xdr:colOff>1838325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819150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1165412</xdr:colOff>
      <xdr:row>1</xdr:row>
      <xdr:rowOff>219075</xdr:rowOff>
    </xdr:from>
    <xdr:to>
      <xdr:col>10</xdr:col>
      <xdr:colOff>257736</xdr:colOff>
      <xdr:row>1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9566462" y="495300"/>
          <a:ext cx="17497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</xdr:row>
      <xdr:rowOff>219075</xdr:rowOff>
    </xdr:from>
    <xdr:to>
      <xdr:col>1</xdr:col>
      <xdr:colOff>1838325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819150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1165412</xdr:colOff>
      <xdr:row>1</xdr:row>
      <xdr:rowOff>219075</xdr:rowOff>
    </xdr:from>
    <xdr:to>
      <xdr:col>10</xdr:col>
      <xdr:colOff>257736</xdr:colOff>
      <xdr:row>1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9566462" y="495300"/>
          <a:ext cx="17497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1</xdr:row>
      <xdr:rowOff>219075</xdr:rowOff>
    </xdr:from>
    <xdr:to>
      <xdr:col>1</xdr:col>
      <xdr:colOff>1838325</xdr:colOff>
      <xdr:row>1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819150" y="495300"/>
          <a:ext cx="1428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4"/>
  <sheetViews>
    <sheetView tabSelected="1" zoomScale="55" zoomScaleNormal="55" zoomScaleSheetLayoutView="55" workbookViewId="0">
      <pane xSplit="4" ySplit="8" topLeftCell="E9" activePane="bottomRight" state="frozen"/>
      <selection activeCell="G15" sqref="G15"/>
      <selection pane="topRight" activeCell="G15" sqref="G15"/>
      <selection pane="bottomLeft" activeCell="G15" sqref="G15"/>
      <selection pane="bottomRight" activeCell="A4" sqref="A4"/>
    </sheetView>
  </sheetViews>
  <sheetFormatPr defaultColWidth="9.109375" defaultRowHeight="13.8"/>
  <cols>
    <col min="1" max="1" width="7" style="80" customWidth="1"/>
    <col min="2" max="2" width="47" style="81" customWidth="1"/>
    <col min="3" max="4" width="10.33203125" style="73" customWidth="1"/>
    <col min="5" max="5" width="22.109375" style="73" customWidth="1"/>
    <col min="6" max="6" width="20.5546875" style="73" customWidth="1"/>
    <col min="7" max="7" width="25.88671875" style="73" customWidth="1"/>
    <col min="8" max="8" width="20.109375" style="73" customWidth="1"/>
    <col min="9" max="9" width="20" style="73" customWidth="1"/>
    <col min="10" max="10" width="19.44140625" style="73" customWidth="1"/>
    <col min="11" max="11" width="21.6640625" style="82" customWidth="1"/>
    <col min="12" max="12" width="19.109375" style="73" customWidth="1"/>
    <col min="13" max="13" width="22.88671875" style="73" customWidth="1"/>
    <col min="14" max="14" width="20.44140625" style="73" customWidth="1"/>
    <col min="15" max="15" width="19.5546875" style="73" customWidth="1"/>
    <col min="16" max="16" width="18.5546875" style="73" customWidth="1"/>
    <col min="17" max="17" width="21.109375" style="73" customWidth="1"/>
    <col min="18" max="18" width="21.6640625" style="73" customWidth="1"/>
    <col min="19" max="19" width="19.33203125" style="73" customWidth="1"/>
    <col min="20" max="20" width="19.44140625" style="73" customWidth="1"/>
    <col min="21" max="21" width="23.33203125" style="73" customWidth="1"/>
    <col min="22" max="22" width="20.33203125" style="73" customWidth="1"/>
    <col min="23" max="23" width="26.44140625" style="73" customWidth="1"/>
    <col min="24" max="24" width="27" style="72" customWidth="1"/>
    <col min="25" max="25" width="20.6640625" style="73" customWidth="1"/>
    <col min="26" max="26" width="17.88671875" style="73" customWidth="1"/>
    <col min="27" max="27" width="12.88671875" style="73" bestFit="1" customWidth="1"/>
    <col min="28" max="16384" width="9.109375" style="73"/>
  </cols>
  <sheetData>
    <row r="1" spans="1:26" s="35" customFormat="1" ht="25.5" customHeight="1">
      <c r="A1" s="91" t="s">
        <v>144</v>
      </c>
      <c r="B1" s="91"/>
      <c r="C1" s="91"/>
      <c r="D1" s="91"/>
      <c r="E1" s="91"/>
      <c r="F1" s="91"/>
      <c r="G1" s="33"/>
      <c r="H1" s="33"/>
      <c r="I1" s="33"/>
      <c r="J1" s="33"/>
      <c r="K1" s="33"/>
      <c r="P1" s="91" t="s">
        <v>53</v>
      </c>
      <c r="Q1" s="91"/>
      <c r="R1" s="91"/>
      <c r="S1" s="91"/>
      <c r="T1" s="91"/>
      <c r="U1" s="91"/>
      <c r="V1" s="91"/>
      <c r="W1" s="91"/>
      <c r="X1" s="36"/>
    </row>
    <row r="2" spans="1:26" s="35" customFormat="1" ht="25.5" customHeight="1">
      <c r="A2" s="92" t="s">
        <v>1</v>
      </c>
      <c r="B2" s="92"/>
      <c r="C2" s="92"/>
      <c r="D2" s="92"/>
      <c r="E2" s="92"/>
      <c r="F2" s="92"/>
      <c r="G2" s="33"/>
      <c r="H2" s="33"/>
      <c r="I2" s="33"/>
      <c r="J2" s="33"/>
      <c r="K2" s="33"/>
      <c r="M2" s="33"/>
      <c r="N2" s="33"/>
      <c r="O2" s="33"/>
      <c r="P2" s="92" t="s">
        <v>54</v>
      </c>
      <c r="Q2" s="91"/>
      <c r="R2" s="91"/>
      <c r="S2" s="91"/>
      <c r="T2" s="91"/>
      <c r="U2" s="91"/>
      <c r="V2" s="91"/>
      <c r="W2" s="91"/>
      <c r="X2" s="36"/>
    </row>
    <row r="3" spans="1:26" s="38" customFormat="1" ht="42.75" customHeight="1">
      <c r="A3" s="93" t="s">
        <v>137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37"/>
    </row>
    <row r="4" spans="1:26" s="38" customFormat="1" ht="26.25" customHeight="1">
      <c r="A4" s="29"/>
      <c r="B4" s="3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9"/>
      <c r="Q4" s="29"/>
      <c r="R4" s="29"/>
      <c r="S4" s="29"/>
      <c r="T4" s="29"/>
      <c r="U4" s="29"/>
      <c r="V4" s="29"/>
      <c r="W4" s="29"/>
      <c r="X4" s="37"/>
    </row>
    <row r="5" spans="1:26" s="40" customFormat="1" ht="26.25" customHeight="1">
      <c r="A5" s="94" t="s">
        <v>2</v>
      </c>
      <c r="B5" s="95" t="s">
        <v>3</v>
      </c>
      <c r="C5" s="94" t="s">
        <v>4</v>
      </c>
      <c r="D5" s="94" t="s">
        <v>5</v>
      </c>
      <c r="E5" s="88" t="s">
        <v>13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7" t="s">
        <v>14</v>
      </c>
      <c r="U5" s="88" t="s">
        <v>15</v>
      </c>
      <c r="V5" s="88" t="s">
        <v>16</v>
      </c>
      <c r="W5" s="88" t="s">
        <v>17</v>
      </c>
      <c r="X5" s="89"/>
    </row>
    <row r="6" spans="1:26" s="38" customFormat="1" ht="28.5" customHeight="1">
      <c r="A6" s="94"/>
      <c r="B6" s="95"/>
      <c r="C6" s="94"/>
      <c r="D6" s="94"/>
      <c r="E6" s="88" t="s">
        <v>18</v>
      </c>
      <c r="F6" s="88"/>
      <c r="G6" s="88"/>
      <c r="H6" s="88"/>
      <c r="I6" s="88"/>
      <c r="J6" s="88"/>
      <c r="K6" s="88"/>
      <c r="L6" s="88" t="s">
        <v>19</v>
      </c>
      <c r="M6" s="88"/>
      <c r="N6" s="88"/>
      <c r="O6" s="88"/>
      <c r="P6" s="88"/>
      <c r="Q6" s="88" t="s">
        <v>20</v>
      </c>
      <c r="R6" s="88" t="s">
        <v>21</v>
      </c>
      <c r="S6" s="88" t="s">
        <v>22</v>
      </c>
      <c r="T6" s="87"/>
      <c r="U6" s="88"/>
      <c r="V6" s="88"/>
      <c r="W6" s="88"/>
      <c r="X6" s="89"/>
    </row>
    <row r="7" spans="1:26" s="40" customFormat="1" ht="50.25" customHeight="1">
      <c r="A7" s="94"/>
      <c r="B7" s="95"/>
      <c r="C7" s="94"/>
      <c r="D7" s="94"/>
      <c r="E7" s="41" t="s">
        <v>23</v>
      </c>
      <c r="F7" s="41" t="s">
        <v>24</v>
      </c>
      <c r="G7" s="41" t="s">
        <v>25</v>
      </c>
      <c r="H7" s="42" t="s">
        <v>55</v>
      </c>
      <c r="I7" s="42" t="s">
        <v>26</v>
      </c>
      <c r="J7" s="42" t="s">
        <v>27</v>
      </c>
      <c r="K7" s="43" t="s">
        <v>28</v>
      </c>
      <c r="L7" s="41" t="s">
        <v>29</v>
      </c>
      <c r="M7" s="41" t="s">
        <v>30</v>
      </c>
      <c r="N7" s="41" t="s">
        <v>31</v>
      </c>
      <c r="O7" s="41" t="s">
        <v>32</v>
      </c>
      <c r="P7" s="41" t="s">
        <v>33</v>
      </c>
      <c r="Q7" s="88"/>
      <c r="R7" s="88"/>
      <c r="S7" s="88"/>
      <c r="T7" s="87"/>
      <c r="U7" s="88"/>
      <c r="V7" s="88"/>
      <c r="W7" s="88"/>
      <c r="X7" s="89"/>
    </row>
    <row r="8" spans="1:26" s="38" customFormat="1" ht="24" customHeight="1">
      <c r="A8" s="94"/>
      <c r="B8" s="95"/>
      <c r="C8" s="94"/>
      <c r="D8" s="94"/>
      <c r="E8" s="44" t="s">
        <v>34</v>
      </c>
      <c r="F8" s="44" t="s">
        <v>35</v>
      </c>
      <c r="G8" s="44" t="s">
        <v>36</v>
      </c>
      <c r="H8" s="44" t="s">
        <v>37</v>
      </c>
      <c r="I8" s="44" t="s">
        <v>38</v>
      </c>
      <c r="J8" s="44" t="s">
        <v>39</v>
      </c>
      <c r="K8" s="45" t="s">
        <v>40</v>
      </c>
      <c r="L8" s="44" t="s">
        <v>41</v>
      </c>
      <c r="M8" s="44" t="s">
        <v>42</v>
      </c>
      <c r="N8" s="44" t="s">
        <v>43</v>
      </c>
      <c r="O8" s="44" t="s">
        <v>44</v>
      </c>
      <c r="P8" s="44" t="s">
        <v>45</v>
      </c>
      <c r="Q8" s="44" t="s">
        <v>46</v>
      </c>
      <c r="R8" s="44" t="s">
        <v>47</v>
      </c>
      <c r="S8" s="44" t="s">
        <v>48</v>
      </c>
      <c r="T8" s="44" t="s">
        <v>49</v>
      </c>
      <c r="U8" s="44" t="s">
        <v>50</v>
      </c>
      <c r="V8" s="44" t="s">
        <v>51</v>
      </c>
      <c r="W8" s="44" t="s">
        <v>52</v>
      </c>
      <c r="X8" s="46"/>
    </row>
    <row r="9" spans="1:26" s="53" customFormat="1" ht="45" customHeight="1">
      <c r="A9" s="47" t="s">
        <v>143</v>
      </c>
      <c r="B9" s="48" t="s">
        <v>130</v>
      </c>
      <c r="C9" s="85" t="s">
        <v>131</v>
      </c>
      <c r="D9" s="85" t="s">
        <v>132</v>
      </c>
      <c r="E9" s="50" t="s">
        <v>133</v>
      </c>
      <c r="F9" s="50" t="s">
        <v>134</v>
      </c>
      <c r="G9" s="50">
        <f>SUM(E9:F9)</f>
        <v>0</v>
      </c>
      <c r="H9" s="50" t="s">
        <v>139</v>
      </c>
      <c r="I9" s="50" t="s">
        <v>142</v>
      </c>
      <c r="J9" s="50" t="s">
        <v>138</v>
      </c>
      <c r="K9" s="50">
        <f>SUM(G9:J9)</f>
        <v>0</v>
      </c>
      <c r="L9" s="50" t="s">
        <v>135</v>
      </c>
      <c r="M9" s="50" t="s">
        <v>136</v>
      </c>
      <c r="N9" s="50" t="s">
        <v>140</v>
      </c>
      <c r="O9" s="50" t="s">
        <v>141</v>
      </c>
      <c r="P9" s="50">
        <f>SUM(M9:O9)</f>
        <v>0</v>
      </c>
      <c r="Q9" s="50" t="e">
        <f>K9-IF(L9="", 0, L9)-P9</f>
        <v>#VALUE!</v>
      </c>
      <c r="R9" s="50">
        <f>SUM(E9,H9)</f>
        <v>0</v>
      </c>
      <c r="S9" s="50">
        <f>SUM(F9,I9,J9)</f>
        <v>0</v>
      </c>
      <c r="T9" s="50">
        <f t="shared" ref="T9" si="0">P9</f>
        <v>0</v>
      </c>
      <c r="U9" s="50">
        <f>SUM(M9:N9)</f>
        <v>0</v>
      </c>
      <c r="V9" s="50">
        <f t="shared" ref="V9" si="1">T9-U9</f>
        <v>0</v>
      </c>
      <c r="W9" s="51"/>
      <c r="X9" s="52"/>
      <c r="Z9" s="54"/>
    </row>
    <row r="10" spans="1:26" s="53" customFormat="1" ht="45" hidden="1" customHeight="1">
      <c r="A10" s="55"/>
      <c r="B10" s="48"/>
      <c r="C10" s="56"/>
      <c r="D10" s="56"/>
      <c r="E10" s="5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8"/>
      <c r="X10" s="52"/>
      <c r="Z10" s="54"/>
    </row>
    <row r="11" spans="1:26" s="65" customFormat="1" ht="42.75" customHeight="1">
      <c r="A11" s="59"/>
      <c r="B11" s="60" t="s">
        <v>12</v>
      </c>
      <c r="C11" s="61"/>
      <c r="D11" s="62"/>
      <c r="E11" s="62">
        <f t="shared" ref="E11:V11" si="2">SUM(E9:E10)</f>
        <v>0</v>
      </c>
      <c r="F11" s="62">
        <f t="shared" si="2"/>
        <v>0</v>
      </c>
      <c r="G11" s="62">
        <f t="shared" si="2"/>
        <v>0</v>
      </c>
      <c r="H11" s="62">
        <f t="shared" si="2"/>
        <v>0</v>
      </c>
      <c r="I11" s="62">
        <f t="shared" si="2"/>
        <v>0</v>
      </c>
      <c r="J11" s="62">
        <f t="shared" si="2"/>
        <v>0</v>
      </c>
      <c r="K11" s="62">
        <f t="shared" si="2"/>
        <v>0</v>
      </c>
      <c r="L11" s="62">
        <f t="shared" si="2"/>
        <v>0</v>
      </c>
      <c r="M11" s="62">
        <f t="shared" si="2"/>
        <v>0</v>
      </c>
      <c r="N11" s="62">
        <f t="shared" si="2"/>
        <v>0</v>
      </c>
      <c r="O11" s="62">
        <f t="shared" si="2"/>
        <v>0</v>
      </c>
      <c r="P11" s="62">
        <f t="shared" si="2"/>
        <v>0</v>
      </c>
      <c r="Q11" s="62" t="e">
        <f t="shared" si="2"/>
        <v>#VALUE!</v>
      </c>
      <c r="R11" s="62">
        <f t="shared" si="2"/>
        <v>0</v>
      </c>
      <c r="S11" s="62">
        <f t="shared" si="2"/>
        <v>0</v>
      </c>
      <c r="T11" s="62">
        <f t="shared" si="2"/>
        <v>0</v>
      </c>
      <c r="U11" s="62">
        <f t="shared" si="2"/>
        <v>0</v>
      </c>
      <c r="V11" s="62">
        <f t="shared" si="2"/>
        <v>0</v>
      </c>
      <c r="W11" s="63"/>
      <c r="X11" s="64"/>
    </row>
    <row r="12" spans="1:26" ht="21" customHeight="1">
      <c r="A12" s="66"/>
      <c r="B12" s="67"/>
      <c r="C12" s="68"/>
      <c r="D12" s="69"/>
      <c r="E12" s="70"/>
      <c r="F12" s="69"/>
      <c r="G12" s="70"/>
      <c r="H12" s="69"/>
      <c r="I12" s="69"/>
      <c r="J12" s="69"/>
      <c r="K12" s="70"/>
      <c r="L12" s="70"/>
      <c r="M12" s="69"/>
      <c r="N12" s="70"/>
      <c r="O12" s="69"/>
      <c r="P12" s="70"/>
      <c r="Q12" s="71"/>
      <c r="R12" s="71"/>
      <c r="S12" s="71"/>
      <c r="T12" s="70"/>
      <c r="U12" s="70"/>
      <c r="V12" s="70"/>
      <c r="W12" s="69"/>
    </row>
    <row r="13" spans="1:26" s="76" customFormat="1" ht="31.2">
      <c r="A13" s="74"/>
      <c r="B13" s="75"/>
      <c r="C13" s="86" t="s">
        <v>56</v>
      </c>
      <c r="D13" s="86"/>
      <c r="E13" s="86"/>
      <c r="F13" s="86"/>
      <c r="G13" s="86"/>
      <c r="I13" s="69"/>
      <c r="K13" s="77"/>
      <c r="M13" s="77"/>
      <c r="N13" s="26"/>
      <c r="O13" s="78"/>
      <c r="P13" s="86" t="s">
        <v>1</v>
      </c>
      <c r="Q13" s="86"/>
      <c r="R13" s="86"/>
      <c r="S13" s="86"/>
      <c r="T13" s="86"/>
      <c r="U13" s="86"/>
      <c r="V13" s="86"/>
      <c r="X13" s="79"/>
    </row>
    <row r="14" spans="1:26">
      <c r="T14" s="82"/>
    </row>
  </sheetData>
  <autoFilter ref="A8:X13" xr:uid="{00000000-0009-0000-0000-000000000000}"/>
  <mergeCells count="22">
    <mergeCell ref="A5:A8"/>
    <mergeCell ref="B5:B8"/>
    <mergeCell ref="C5:C8"/>
    <mergeCell ref="D5:D8"/>
    <mergeCell ref="E5:S5"/>
    <mergeCell ref="A1:F1"/>
    <mergeCell ref="P1:W1"/>
    <mergeCell ref="A2:F2"/>
    <mergeCell ref="P2:W2"/>
    <mergeCell ref="A3:W3"/>
    <mergeCell ref="W5:W7"/>
    <mergeCell ref="X5:X7"/>
    <mergeCell ref="E6:K6"/>
    <mergeCell ref="L6:P6"/>
    <mergeCell ref="Q6:Q7"/>
    <mergeCell ref="R6:R7"/>
    <mergeCell ref="S6:S7"/>
    <mergeCell ref="C13:G13"/>
    <mergeCell ref="P13:V13"/>
    <mergeCell ref="T5:T7"/>
    <mergeCell ref="U5:U7"/>
    <mergeCell ref="V5:V7"/>
  </mergeCells>
  <pageMargins left="0.31" right="0" top="0.6" bottom="0.74803149606299202" header="0.31496062992126" footer="0.31496062992126"/>
  <pageSetup paperSize="9" scale="2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5"/>
  <sheetViews>
    <sheetView zoomScale="55" zoomScaleNormal="55" zoomScaleSheetLayoutView="55" workbookViewId="0">
      <pane xSplit="4" ySplit="8" topLeftCell="L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ColWidth="9.109375" defaultRowHeight="13.8"/>
  <cols>
    <col min="1" max="1" width="7" style="80" customWidth="1"/>
    <col min="2" max="2" width="47" style="81" customWidth="1"/>
    <col min="3" max="4" width="10.33203125" style="73" customWidth="1"/>
    <col min="5" max="5" width="22.109375" style="73" customWidth="1"/>
    <col min="6" max="6" width="20.5546875" style="73" customWidth="1"/>
    <col min="7" max="7" width="25.88671875" style="73" customWidth="1"/>
    <col min="8" max="8" width="20.109375" style="73" customWidth="1"/>
    <col min="9" max="9" width="20" style="73" customWidth="1"/>
    <col min="10" max="10" width="19.44140625" style="73" customWidth="1"/>
    <col min="11" max="11" width="21.6640625" style="82" customWidth="1"/>
    <col min="12" max="12" width="19.109375" style="73" customWidth="1"/>
    <col min="13" max="13" width="22.88671875" style="73" customWidth="1"/>
    <col min="14" max="14" width="20.44140625" style="73" customWidth="1"/>
    <col min="15" max="15" width="19.5546875" style="73" customWidth="1"/>
    <col min="16" max="16" width="18.5546875" style="73" customWidth="1"/>
    <col min="17" max="17" width="21.109375" style="73" customWidth="1"/>
    <col min="18" max="18" width="21.6640625" style="73" customWidth="1"/>
    <col min="19" max="19" width="19.33203125" style="73" customWidth="1"/>
    <col min="20" max="20" width="19.44140625" style="73" customWidth="1"/>
    <col min="21" max="21" width="23.33203125" style="73" customWidth="1"/>
    <col min="22" max="22" width="20.33203125" style="73" customWidth="1"/>
    <col min="23" max="23" width="26.44140625" style="73" customWidth="1"/>
    <col min="24" max="24" width="27" style="72" customWidth="1"/>
    <col min="25" max="25" width="20.6640625" style="73" customWidth="1"/>
    <col min="26" max="26" width="17.88671875" style="73" customWidth="1"/>
    <col min="27" max="27" width="12.88671875" style="73" bestFit="1" customWidth="1"/>
    <col min="28" max="16384" width="9.109375" style="73"/>
  </cols>
  <sheetData>
    <row r="1" spans="1:26" s="35" customFormat="1" ht="25.5" customHeight="1">
      <c r="A1" s="90" t="s">
        <v>0</v>
      </c>
      <c r="B1" s="90"/>
      <c r="C1" s="90"/>
      <c r="D1" s="90"/>
      <c r="E1" s="90"/>
      <c r="F1" s="90"/>
      <c r="G1" s="33"/>
      <c r="H1" s="33"/>
      <c r="I1" s="33"/>
      <c r="J1" s="33"/>
      <c r="K1" s="33"/>
      <c r="P1" s="91" t="s">
        <v>53</v>
      </c>
      <c r="Q1" s="91"/>
      <c r="R1" s="91"/>
      <c r="S1" s="91"/>
      <c r="T1" s="91"/>
      <c r="U1" s="91"/>
      <c r="V1" s="91"/>
      <c r="W1" s="91"/>
      <c r="X1" s="36"/>
    </row>
    <row r="2" spans="1:26" s="35" customFormat="1" ht="25.5" customHeight="1">
      <c r="A2" s="91" t="s">
        <v>77</v>
      </c>
      <c r="B2" s="91"/>
      <c r="C2" s="91"/>
      <c r="D2" s="91"/>
      <c r="E2" s="91"/>
      <c r="F2" s="91"/>
      <c r="G2" s="33"/>
      <c r="H2" s="33"/>
      <c r="I2" s="33"/>
      <c r="J2" s="33"/>
      <c r="K2" s="33"/>
      <c r="M2" s="33"/>
      <c r="N2" s="33"/>
      <c r="O2" s="33"/>
      <c r="P2" s="92" t="s">
        <v>54</v>
      </c>
      <c r="Q2" s="91"/>
      <c r="R2" s="91"/>
      <c r="S2" s="91"/>
      <c r="T2" s="91"/>
      <c r="U2" s="91"/>
      <c r="V2" s="91"/>
      <c r="W2" s="91"/>
      <c r="X2" s="36"/>
    </row>
    <row r="3" spans="1:26" s="38" customFormat="1" ht="36" customHeight="1">
      <c r="A3" s="93" t="s">
        <v>112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37"/>
    </row>
    <row r="4" spans="1:26" s="38" customFormat="1" ht="26.25" customHeight="1">
      <c r="A4" s="29"/>
      <c r="B4" s="3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9"/>
      <c r="Q4" s="29"/>
      <c r="R4" s="29"/>
      <c r="S4" s="29"/>
      <c r="T4" s="29"/>
      <c r="U4" s="29"/>
      <c r="V4" s="29"/>
      <c r="W4" s="29"/>
      <c r="X4" s="37"/>
    </row>
    <row r="5" spans="1:26" s="40" customFormat="1" ht="26.25" customHeight="1">
      <c r="A5" s="94" t="s">
        <v>2</v>
      </c>
      <c r="B5" s="95" t="s">
        <v>3</v>
      </c>
      <c r="C5" s="94" t="s">
        <v>4</v>
      </c>
      <c r="D5" s="94" t="s">
        <v>5</v>
      </c>
      <c r="E5" s="88" t="s">
        <v>13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7" t="s">
        <v>14</v>
      </c>
      <c r="U5" s="88" t="s">
        <v>15</v>
      </c>
      <c r="V5" s="88" t="s">
        <v>16</v>
      </c>
      <c r="W5" s="88" t="s">
        <v>17</v>
      </c>
      <c r="X5" s="89"/>
    </row>
    <row r="6" spans="1:26" s="38" customFormat="1" ht="28.5" customHeight="1">
      <c r="A6" s="94"/>
      <c r="B6" s="95"/>
      <c r="C6" s="94"/>
      <c r="D6" s="94"/>
      <c r="E6" s="88" t="s">
        <v>18</v>
      </c>
      <c r="F6" s="88"/>
      <c r="G6" s="88"/>
      <c r="H6" s="88"/>
      <c r="I6" s="88"/>
      <c r="J6" s="88"/>
      <c r="K6" s="88"/>
      <c r="L6" s="88" t="s">
        <v>19</v>
      </c>
      <c r="M6" s="88"/>
      <c r="N6" s="88"/>
      <c r="O6" s="88"/>
      <c r="P6" s="88"/>
      <c r="Q6" s="88" t="s">
        <v>20</v>
      </c>
      <c r="R6" s="88" t="s">
        <v>21</v>
      </c>
      <c r="S6" s="88" t="s">
        <v>22</v>
      </c>
      <c r="T6" s="87"/>
      <c r="U6" s="88"/>
      <c r="V6" s="88"/>
      <c r="W6" s="88"/>
      <c r="X6" s="89"/>
    </row>
    <row r="7" spans="1:26" s="40" customFormat="1" ht="50.25" customHeight="1">
      <c r="A7" s="94"/>
      <c r="B7" s="95"/>
      <c r="C7" s="94"/>
      <c r="D7" s="94"/>
      <c r="E7" s="41" t="s">
        <v>23</v>
      </c>
      <c r="F7" s="41" t="s">
        <v>24</v>
      </c>
      <c r="G7" s="41" t="s">
        <v>25</v>
      </c>
      <c r="H7" s="42" t="s">
        <v>55</v>
      </c>
      <c r="I7" s="42" t="s">
        <v>26</v>
      </c>
      <c r="J7" s="42" t="s">
        <v>27</v>
      </c>
      <c r="K7" s="43" t="s">
        <v>28</v>
      </c>
      <c r="L7" s="41" t="s">
        <v>29</v>
      </c>
      <c r="M7" s="41" t="s">
        <v>30</v>
      </c>
      <c r="N7" s="41" t="s">
        <v>31</v>
      </c>
      <c r="O7" s="41" t="s">
        <v>32</v>
      </c>
      <c r="P7" s="41" t="s">
        <v>33</v>
      </c>
      <c r="Q7" s="88"/>
      <c r="R7" s="88"/>
      <c r="S7" s="88"/>
      <c r="T7" s="87"/>
      <c r="U7" s="88"/>
      <c r="V7" s="88"/>
      <c r="W7" s="88"/>
      <c r="X7" s="89"/>
    </row>
    <row r="8" spans="1:26" s="38" customFormat="1" ht="24" customHeight="1">
      <c r="A8" s="94"/>
      <c r="B8" s="95"/>
      <c r="C8" s="94"/>
      <c r="D8" s="94"/>
      <c r="E8" s="44" t="s">
        <v>34</v>
      </c>
      <c r="F8" s="44" t="s">
        <v>35</v>
      </c>
      <c r="G8" s="44" t="s">
        <v>36</v>
      </c>
      <c r="H8" s="44" t="s">
        <v>37</v>
      </c>
      <c r="I8" s="44" t="s">
        <v>38</v>
      </c>
      <c r="J8" s="44" t="s">
        <v>39</v>
      </c>
      <c r="K8" s="45" t="s">
        <v>40</v>
      </c>
      <c r="L8" s="44" t="s">
        <v>41</v>
      </c>
      <c r="M8" s="44" t="s">
        <v>42</v>
      </c>
      <c r="N8" s="44" t="s">
        <v>43</v>
      </c>
      <c r="O8" s="44" t="s">
        <v>44</v>
      </c>
      <c r="P8" s="44" t="s">
        <v>45</v>
      </c>
      <c r="Q8" s="44" t="s">
        <v>46</v>
      </c>
      <c r="R8" s="44" t="s">
        <v>47</v>
      </c>
      <c r="S8" s="44" t="s">
        <v>48</v>
      </c>
      <c r="T8" s="44" t="s">
        <v>49</v>
      </c>
      <c r="U8" s="44" t="s">
        <v>50</v>
      </c>
      <c r="V8" s="44" t="s">
        <v>51</v>
      </c>
      <c r="W8" s="44" t="s">
        <v>52</v>
      </c>
      <c r="X8" s="46"/>
    </row>
    <row r="9" spans="1:26" s="53" customFormat="1" ht="41.25" customHeight="1">
      <c r="A9" s="47">
        <v>1</v>
      </c>
      <c r="B9" s="48" t="s">
        <v>113</v>
      </c>
      <c r="C9" s="49" t="s">
        <v>94</v>
      </c>
      <c r="D9" s="49" t="s">
        <v>114</v>
      </c>
      <c r="E9" s="50">
        <v>14886144404</v>
      </c>
      <c r="F9" s="50">
        <v>0</v>
      </c>
      <c r="G9" s="50">
        <f t="shared" ref="G9:G21" si="0">E9+F9</f>
        <v>14886144404</v>
      </c>
      <c r="H9" s="50">
        <v>63810000</v>
      </c>
      <c r="I9" s="50">
        <v>562586656</v>
      </c>
      <c r="J9" s="50">
        <v>188795244</v>
      </c>
      <c r="K9" s="50">
        <f t="shared" ref="K9:K21" si="1">G9+H9+I9+J9</f>
        <v>15701336304</v>
      </c>
      <c r="L9" s="50">
        <v>602945040</v>
      </c>
      <c r="M9" s="50">
        <v>2434476691</v>
      </c>
      <c r="N9" s="50">
        <v>44293416</v>
      </c>
      <c r="O9" s="50">
        <v>9675206</v>
      </c>
      <c r="P9" s="50">
        <f t="shared" ref="P9" si="2">M9+N9+O9</f>
        <v>2488445313</v>
      </c>
      <c r="Q9" s="50">
        <f t="shared" ref="Q9" si="3">K9-L9-P9</f>
        <v>12609945951</v>
      </c>
      <c r="R9" s="50">
        <f t="shared" ref="R9" si="4">E9+H9</f>
        <v>14949954404</v>
      </c>
      <c r="S9" s="50">
        <f t="shared" ref="S9" si="5">F9+I9+J9</f>
        <v>751381900</v>
      </c>
      <c r="T9" s="50">
        <f t="shared" ref="T9" si="6">P9</f>
        <v>2488445313</v>
      </c>
      <c r="U9" s="50">
        <f t="shared" ref="U9" si="7">M9+N9</f>
        <v>2478770107</v>
      </c>
      <c r="V9" s="50">
        <f t="shared" ref="V9" si="8">T9-U9</f>
        <v>9675206</v>
      </c>
      <c r="W9" s="51" t="s">
        <v>123</v>
      </c>
      <c r="X9" s="52"/>
      <c r="Z9" s="54"/>
    </row>
    <row r="10" spans="1:26" s="53" customFormat="1" ht="41.25" customHeight="1">
      <c r="A10" s="55">
        <f>A9+1</f>
        <v>2</v>
      </c>
      <c r="B10" s="48" t="s">
        <v>115</v>
      </c>
      <c r="C10" s="49" t="s">
        <v>94</v>
      </c>
      <c r="D10" s="49" t="s">
        <v>114</v>
      </c>
      <c r="E10" s="50">
        <v>132573412257</v>
      </c>
      <c r="F10" s="50">
        <v>0</v>
      </c>
      <c r="G10" s="50">
        <f t="shared" si="0"/>
        <v>132573412257</v>
      </c>
      <c r="H10" s="50">
        <v>5375583818</v>
      </c>
      <c r="I10" s="50">
        <v>7224896900</v>
      </c>
      <c r="J10" s="50">
        <v>2576654766</v>
      </c>
      <c r="K10" s="50">
        <f t="shared" si="1"/>
        <v>147750547741</v>
      </c>
      <c r="L10" s="50">
        <v>6769106638</v>
      </c>
      <c r="M10" s="50">
        <v>6530069900</v>
      </c>
      <c r="N10" s="50">
        <v>303126998</v>
      </c>
      <c r="O10" s="50">
        <v>32427266</v>
      </c>
      <c r="P10" s="50">
        <f t="shared" ref="P10:P21" si="9">M10+N10+O10</f>
        <v>6865624164</v>
      </c>
      <c r="Q10" s="50">
        <f t="shared" ref="Q10:Q21" si="10">K10-L10-P10</f>
        <v>134115816939</v>
      </c>
      <c r="R10" s="50">
        <f t="shared" ref="R10:R21" si="11">E10+H10</f>
        <v>137948996075</v>
      </c>
      <c r="S10" s="50">
        <f t="shared" ref="S10:S21" si="12">F10+I10+J10</f>
        <v>9801551666</v>
      </c>
      <c r="T10" s="50">
        <f t="shared" ref="T10:T21" si="13">P10</f>
        <v>6865624164</v>
      </c>
      <c r="U10" s="50">
        <f t="shared" ref="U10:U21" si="14">M10+N10</f>
        <v>6833196898</v>
      </c>
      <c r="V10" s="50">
        <f t="shared" ref="V10:V21" si="15">T10-U10</f>
        <v>32427266</v>
      </c>
      <c r="W10" s="51" t="s">
        <v>123</v>
      </c>
      <c r="X10" s="52"/>
      <c r="Z10" s="54"/>
    </row>
    <row r="11" spans="1:26" s="53" customFormat="1" ht="41.25" customHeight="1">
      <c r="A11" s="55">
        <f t="shared" ref="A11:A21" si="16">A10+1</f>
        <v>3</v>
      </c>
      <c r="B11" s="48" t="s">
        <v>116</v>
      </c>
      <c r="C11" s="49" t="s">
        <v>94</v>
      </c>
      <c r="D11" s="49" t="s">
        <v>114</v>
      </c>
      <c r="E11" s="50">
        <v>864524238</v>
      </c>
      <c r="F11" s="50">
        <v>0</v>
      </c>
      <c r="G11" s="50">
        <f t="shared" si="0"/>
        <v>864524238</v>
      </c>
      <c r="H11" s="50">
        <v>0</v>
      </c>
      <c r="I11" s="50">
        <v>0</v>
      </c>
      <c r="J11" s="50">
        <v>0</v>
      </c>
      <c r="K11" s="50">
        <f t="shared" si="1"/>
        <v>864524238</v>
      </c>
      <c r="L11" s="50">
        <v>23528232</v>
      </c>
      <c r="M11" s="50">
        <v>30111854</v>
      </c>
      <c r="N11" s="50">
        <v>0</v>
      </c>
      <c r="O11" s="50">
        <v>0</v>
      </c>
      <c r="P11" s="50">
        <f t="shared" si="9"/>
        <v>30111854</v>
      </c>
      <c r="Q11" s="50">
        <f t="shared" si="10"/>
        <v>810884152</v>
      </c>
      <c r="R11" s="50">
        <f t="shared" si="11"/>
        <v>864524238</v>
      </c>
      <c r="S11" s="50">
        <f t="shared" si="12"/>
        <v>0</v>
      </c>
      <c r="T11" s="50">
        <f t="shared" si="13"/>
        <v>30111854</v>
      </c>
      <c r="U11" s="50">
        <f t="shared" si="14"/>
        <v>30111854</v>
      </c>
      <c r="V11" s="50">
        <f t="shared" si="15"/>
        <v>0</v>
      </c>
      <c r="W11" s="51"/>
      <c r="X11" s="52"/>
      <c r="Z11" s="54"/>
    </row>
    <row r="12" spans="1:26" s="53" customFormat="1" ht="38.25" customHeight="1">
      <c r="A12" s="55">
        <f t="shared" si="16"/>
        <v>4</v>
      </c>
      <c r="B12" s="48" t="s">
        <v>117</v>
      </c>
      <c r="C12" s="49" t="s">
        <v>94</v>
      </c>
      <c r="D12" s="49" t="s">
        <v>114</v>
      </c>
      <c r="E12" s="50">
        <f>29630000+3496531522</f>
        <v>3526161522</v>
      </c>
      <c r="F12" s="50">
        <v>0</v>
      </c>
      <c r="G12" s="50">
        <f t="shared" si="0"/>
        <v>3526161522</v>
      </c>
      <c r="H12" s="50">
        <v>0</v>
      </c>
      <c r="I12" s="50">
        <v>0</v>
      </c>
      <c r="J12" s="50">
        <v>0</v>
      </c>
      <c r="K12" s="50">
        <f t="shared" si="1"/>
        <v>3526161522</v>
      </c>
      <c r="L12" s="50">
        <v>0</v>
      </c>
      <c r="M12" s="50">
        <v>14888333</v>
      </c>
      <c r="N12" s="50">
        <v>0</v>
      </c>
      <c r="O12" s="50">
        <v>0</v>
      </c>
      <c r="P12" s="50">
        <f t="shared" si="9"/>
        <v>14888333</v>
      </c>
      <c r="Q12" s="50">
        <f t="shared" si="10"/>
        <v>3511273189</v>
      </c>
      <c r="R12" s="50">
        <f t="shared" si="11"/>
        <v>3526161522</v>
      </c>
      <c r="S12" s="50">
        <f t="shared" si="12"/>
        <v>0</v>
      </c>
      <c r="T12" s="50">
        <f t="shared" si="13"/>
        <v>14888333</v>
      </c>
      <c r="U12" s="50">
        <f t="shared" si="14"/>
        <v>14888333</v>
      </c>
      <c r="V12" s="50">
        <f t="shared" si="15"/>
        <v>0</v>
      </c>
      <c r="W12" s="51"/>
      <c r="X12" s="52"/>
      <c r="Z12" s="54"/>
    </row>
    <row r="13" spans="1:26" s="53" customFormat="1" ht="41.25" customHeight="1">
      <c r="A13" s="55">
        <f t="shared" si="16"/>
        <v>5</v>
      </c>
      <c r="B13" s="48" t="s">
        <v>118</v>
      </c>
      <c r="C13" s="56" t="s">
        <v>76</v>
      </c>
      <c r="D13" s="56" t="s">
        <v>114</v>
      </c>
      <c r="E13" s="57">
        <v>644478545</v>
      </c>
      <c r="F13" s="50">
        <v>0</v>
      </c>
      <c r="G13" s="50">
        <f t="shared" si="0"/>
        <v>644478545</v>
      </c>
      <c r="H13" s="50">
        <v>0</v>
      </c>
      <c r="I13" s="50">
        <v>0</v>
      </c>
      <c r="J13" s="50">
        <v>0</v>
      </c>
      <c r="K13" s="50">
        <f t="shared" si="1"/>
        <v>644478545</v>
      </c>
      <c r="L13" s="50">
        <v>0</v>
      </c>
      <c r="M13" s="50">
        <v>23718198</v>
      </c>
      <c r="N13" s="50">
        <v>0</v>
      </c>
      <c r="O13" s="50">
        <v>0</v>
      </c>
      <c r="P13" s="50">
        <f t="shared" si="9"/>
        <v>23718198</v>
      </c>
      <c r="Q13" s="50">
        <f t="shared" si="10"/>
        <v>620760347</v>
      </c>
      <c r="R13" s="50">
        <f t="shared" si="11"/>
        <v>644478545</v>
      </c>
      <c r="S13" s="50">
        <f t="shared" si="12"/>
        <v>0</v>
      </c>
      <c r="T13" s="50">
        <f t="shared" si="13"/>
        <v>23718198</v>
      </c>
      <c r="U13" s="50">
        <f t="shared" si="14"/>
        <v>23718198</v>
      </c>
      <c r="V13" s="50">
        <f t="shared" si="15"/>
        <v>0</v>
      </c>
      <c r="W13" s="51"/>
      <c r="X13" s="52"/>
      <c r="Z13" s="54"/>
    </row>
    <row r="14" spans="1:26" s="53" customFormat="1" ht="41.25" customHeight="1">
      <c r="A14" s="55">
        <f t="shared" si="16"/>
        <v>6</v>
      </c>
      <c r="B14" s="48" t="s">
        <v>119</v>
      </c>
      <c r="C14" s="56" t="s">
        <v>75</v>
      </c>
      <c r="D14" s="56" t="s">
        <v>114</v>
      </c>
      <c r="E14" s="57">
        <v>94509622366</v>
      </c>
      <c r="F14" s="50">
        <v>0</v>
      </c>
      <c r="G14" s="50">
        <f>E14+F14</f>
        <v>94509622366</v>
      </c>
      <c r="H14" s="50">
        <v>0</v>
      </c>
      <c r="I14" s="50">
        <v>0</v>
      </c>
      <c r="J14" s="50">
        <v>0</v>
      </c>
      <c r="K14" s="50">
        <f t="shared" si="1"/>
        <v>94509622366</v>
      </c>
      <c r="L14" s="50">
        <v>0</v>
      </c>
      <c r="M14" s="50">
        <v>1026001137</v>
      </c>
      <c r="N14" s="50">
        <v>8000000</v>
      </c>
      <c r="O14" s="50">
        <v>0</v>
      </c>
      <c r="P14" s="50">
        <f t="shared" si="9"/>
        <v>1034001137</v>
      </c>
      <c r="Q14" s="50">
        <f t="shared" si="10"/>
        <v>93475621229</v>
      </c>
      <c r="R14" s="50">
        <f t="shared" si="11"/>
        <v>94509622366</v>
      </c>
      <c r="S14" s="50">
        <f t="shared" si="12"/>
        <v>0</v>
      </c>
      <c r="T14" s="50">
        <f t="shared" si="13"/>
        <v>1034001137</v>
      </c>
      <c r="U14" s="50">
        <f t="shared" si="14"/>
        <v>1034001137</v>
      </c>
      <c r="V14" s="50">
        <f t="shared" si="15"/>
        <v>0</v>
      </c>
      <c r="W14" s="58"/>
      <c r="X14" s="52"/>
      <c r="Z14" s="54"/>
    </row>
    <row r="15" spans="1:26" s="53" customFormat="1" ht="41.25" customHeight="1">
      <c r="A15" s="55">
        <f t="shared" si="16"/>
        <v>7</v>
      </c>
      <c r="B15" s="48" t="s">
        <v>120</v>
      </c>
      <c r="C15" s="56" t="s">
        <v>75</v>
      </c>
      <c r="D15" s="56" t="s">
        <v>114</v>
      </c>
      <c r="E15" s="57">
        <v>22672181087</v>
      </c>
      <c r="F15" s="50">
        <v>0</v>
      </c>
      <c r="G15" s="50">
        <f t="shared" si="0"/>
        <v>22672181087</v>
      </c>
      <c r="H15" s="50">
        <v>0</v>
      </c>
      <c r="I15" s="50">
        <v>0</v>
      </c>
      <c r="J15" s="50">
        <v>0</v>
      </c>
      <c r="K15" s="50">
        <f t="shared" si="1"/>
        <v>22672181087</v>
      </c>
      <c r="L15" s="50">
        <v>0</v>
      </c>
      <c r="M15" s="50">
        <v>2480581958</v>
      </c>
      <c r="N15" s="50">
        <v>1000000</v>
      </c>
      <c r="O15" s="50">
        <v>0</v>
      </c>
      <c r="P15" s="50">
        <f t="shared" si="9"/>
        <v>2481581958</v>
      </c>
      <c r="Q15" s="50">
        <f t="shared" si="10"/>
        <v>20190599129</v>
      </c>
      <c r="R15" s="50">
        <f t="shared" si="11"/>
        <v>22672181087</v>
      </c>
      <c r="S15" s="50">
        <f t="shared" si="12"/>
        <v>0</v>
      </c>
      <c r="T15" s="50">
        <f t="shared" si="13"/>
        <v>2481581958</v>
      </c>
      <c r="U15" s="50">
        <f t="shared" si="14"/>
        <v>2481581958</v>
      </c>
      <c r="V15" s="50">
        <f t="shared" si="15"/>
        <v>0</v>
      </c>
      <c r="W15" s="51"/>
      <c r="X15" s="52"/>
      <c r="Z15" s="54"/>
    </row>
    <row r="16" spans="1:26" s="53" customFormat="1" ht="41.25" customHeight="1">
      <c r="A16" s="55">
        <f t="shared" si="16"/>
        <v>8</v>
      </c>
      <c r="B16" s="48" t="s">
        <v>121</v>
      </c>
      <c r="C16" s="56" t="s">
        <v>75</v>
      </c>
      <c r="D16" s="56" t="s">
        <v>114</v>
      </c>
      <c r="E16" s="57">
        <v>4290000</v>
      </c>
      <c r="F16" s="50">
        <v>3399627190</v>
      </c>
      <c r="G16" s="50">
        <f t="shared" si="0"/>
        <v>3403917190</v>
      </c>
      <c r="H16" s="50">
        <v>0</v>
      </c>
      <c r="I16" s="50">
        <v>0</v>
      </c>
      <c r="J16" s="50">
        <v>0</v>
      </c>
      <c r="K16" s="50">
        <f t="shared" si="1"/>
        <v>3403917190</v>
      </c>
      <c r="L16" s="50">
        <v>0</v>
      </c>
      <c r="M16" s="50">
        <v>0</v>
      </c>
      <c r="N16" s="50">
        <v>0</v>
      </c>
      <c r="O16" s="50">
        <v>0</v>
      </c>
      <c r="P16" s="50">
        <f t="shared" si="9"/>
        <v>0</v>
      </c>
      <c r="Q16" s="50">
        <f t="shared" si="10"/>
        <v>3403917190</v>
      </c>
      <c r="R16" s="50">
        <f t="shared" si="11"/>
        <v>4290000</v>
      </c>
      <c r="S16" s="50">
        <f t="shared" si="12"/>
        <v>3399627190</v>
      </c>
      <c r="T16" s="50">
        <f t="shared" si="13"/>
        <v>0</v>
      </c>
      <c r="U16" s="50">
        <f t="shared" si="14"/>
        <v>0</v>
      </c>
      <c r="V16" s="50">
        <f t="shared" si="15"/>
        <v>0</v>
      </c>
      <c r="W16" s="58" t="s">
        <v>125</v>
      </c>
      <c r="X16" s="52"/>
      <c r="Z16" s="54"/>
    </row>
    <row r="17" spans="1:26" s="53" customFormat="1" ht="41.25" customHeight="1">
      <c r="A17" s="55">
        <f t="shared" si="16"/>
        <v>9</v>
      </c>
      <c r="B17" s="48" t="s">
        <v>122</v>
      </c>
      <c r="C17" s="56" t="s">
        <v>76</v>
      </c>
      <c r="D17" s="56" t="s">
        <v>114</v>
      </c>
      <c r="E17" s="57">
        <v>1495000</v>
      </c>
      <c r="F17" s="57">
        <v>5434270917</v>
      </c>
      <c r="G17" s="57">
        <f t="shared" si="0"/>
        <v>5435765917</v>
      </c>
      <c r="H17" s="57">
        <v>0</v>
      </c>
      <c r="I17" s="57">
        <v>0</v>
      </c>
      <c r="J17" s="57">
        <v>0</v>
      </c>
      <c r="K17" s="57">
        <f t="shared" si="1"/>
        <v>5435765917</v>
      </c>
      <c r="L17" s="57">
        <v>0</v>
      </c>
      <c r="M17" s="57">
        <v>149500</v>
      </c>
      <c r="N17" s="57">
        <v>0</v>
      </c>
      <c r="O17" s="57">
        <v>0</v>
      </c>
      <c r="P17" s="57">
        <f t="shared" si="9"/>
        <v>149500</v>
      </c>
      <c r="Q17" s="57">
        <f t="shared" si="10"/>
        <v>5435616417</v>
      </c>
      <c r="R17" s="57">
        <f t="shared" si="11"/>
        <v>1495000</v>
      </c>
      <c r="S17" s="57">
        <f t="shared" si="12"/>
        <v>5434270917</v>
      </c>
      <c r="T17" s="57">
        <f t="shared" si="13"/>
        <v>149500</v>
      </c>
      <c r="U17" s="57">
        <f t="shared" si="14"/>
        <v>149500</v>
      </c>
      <c r="V17" s="57">
        <f t="shared" si="15"/>
        <v>0</v>
      </c>
      <c r="W17" s="58" t="s">
        <v>125</v>
      </c>
      <c r="X17" s="52"/>
      <c r="Z17" s="54"/>
    </row>
    <row r="18" spans="1:26" s="53" customFormat="1" ht="41.25" customHeight="1">
      <c r="A18" s="55">
        <f t="shared" si="16"/>
        <v>10</v>
      </c>
      <c r="B18" s="48" t="s">
        <v>126</v>
      </c>
      <c r="C18" s="56" t="s">
        <v>114</v>
      </c>
      <c r="D18" s="56" t="s">
        <v>114</v>
      </c>
      <c r="E18" s="57">
        <v>748506374</v>
      </c>
      <c r="F18" s="50">
        <v>0</v>
      </c>
      <c r="G18" s="50">
        <f>E18+F18</f>
        <v>748506374</v>
      </c>
      <c r="H18" s="50">
        <v>0</v>
      </c>
      <c r="I18" s="50">
        <v>0</v>
      </c>
      <c r="J18" s="50">
        <v>0</v>
      </c>
      <c r="K18" s="50">
        <f t="shared" si="1"/>
        <v>748506374</v>
      </c>
      <c r="L18" s="50">
        <v>0</v>
      </c>
      <c r="M18" s="50">
        <v>42374652</v>
      </c>
      <c r="N18" s="50">
        <v>0</v>
      </c>
      <c r="O18" s="50">
        <v>0</v>
      </c>
      <c r="P18" s="50">
        <f t="shared" si="9"/>
        <v>42374652</v>
      </c>
      <c r="Q18" s="50">
        <f t="shared" si="10"/>
        <v>706131722</v>
      </c>
      <c r="R18" s="50">
        <f t="shared" si="11"/>
        <v>748506374</v>
      </c>
      <c r="S18" s="50">
        <f t="shared" si="12"/>
        <v>0</v>
      </c>
      <c r="T18" s="50">
        <f t="shared" si="13"/>
        <v>42374652</v>
      </c>
      <c r="U18" s="50">
        <f t="shared" si="14"/>
        <v>42374652</v>
      </c>
      <c r="V18" s="50">
        <f t="shared" si="15"/>
        <v>0</v>
      </c>
      <c r="W18" s="51"/>
      <c r="X18" s="52"/>
      <c r="Z18" s="54"/>
    </row>
    <row r="19" spans="1:26" s="53" customFormat="1" ht="41.25" customHeight="1">
      <c r="A19" s="55">
        <f t="shared" si="16"/>
        <v>11</v>
      </c>
      <c r="B19" s="48" t="s">
        <v>127</v>
      </c>
      <c r="C19" s="56" t="s">
        <v>114</v>
      </c>
      <c r="D19" s="56" t="s">
        <v>114</v>
      </c>
      <c r="E19" s="50">
        <v>43509761</v>
      </c>
      <c r="F19" s="50">
        <v>0</v>
      </c>
      <c r="G19" s="50">
        <f t="shared" si="0"/>
        <v>43509761</v>
      </c>
      <c r="H19" s="50">
        <v>0</v>
      </c>
      <c r="I19" s="50">
        <v>0</v>
      </c>
      <c r="J19" s="50">
        <v>0</v>
      </c>
      <c r="K19" s="50">
        <f t="shared" si="1"/>
        <v>43509761</v>
      </c>
      <c r="L19" s="50">
        <v>0</v>
      </c>
      <c r="M19" s="50">
        <v>0</v>
      </c>
      <c r="N19" s="50">
        <v>0</v>
      </c>
      <c r="O19" s="50">
        <v>0</v>
      </c>
      <c r="P19" s="50">
        <f t="shared" si="9"/>
        <v>0</v>
      </c>
      <c r="Q19" s="50">
        <f t="shared" si="10"/>
        <v>43509761</v>
      </c>
      <c r="R19" s="50">
        <f t="shared" si="11"/>
        <v>43509761</v>
      </c>
      <c r="S19" s="50">
        <f t="shared" si="12"/>
        <v>0</v>
      </c>
      <c r="T19" s="50">
        <f t="shared" si="13"/>
        <v>0</v>
      </c>
      <c r="U19" s="50">
        <f t="shared" si="14"/>
        <v>0</v>
      </c>
      <c r="V19" s="50">
        <f t="shared" si="15"/>
        <v>0</v>
      </c>
      <c r="W19" s="58"/>
      <c r="X19" s="52"/>
      <c r="Z19" s="54"/>
    </row>
    <row r="20" spans="1:26" s="53" customFormat="1" ht="78">
      <c r="A20" s="55">
        <f t="shared" si="16"/>
        <v>12</v>
      </c>
      <c r="B20" s="48" t="s">
        <v>128</v>
      </c>
      <c r="C20" s="56" t="s">
        <v>114</v>
      </c>
      <c r="D20" s="56" t="s">
        <v>114</v>
      </c>
      <c r="E20" s="57">
        <f>733680000+6600000</f>
        <v>740280000</v>
      </c>
      <c r="F20" s="50">
        <f>27500000+3526740000</f>
        <v>3554240000</v>
      </c>
      <c r="G20" s="50">
        <f t="shared" si="0"/>
        <v>4294520000</v>
      </c>
      <c r="H20" s="50">
        <v>0</v>
      </c>
      <c r="I20" s="50">
        <v>0</v>
      </c>
      <c r="J20" s="50">
        <v>0</v>
      </c>
      <c r="K20" s="50">
        <f t="shared" si="1"/>
        <v>4294520000</v>
      </c>
      <c r="L20" s="50">
        <v>0</v>
      </c>
      <c r="M20" s="50">
        <v>600000</v>
      </c>
      <c r="N20" s="50">
        <v>0</v>
      </c>
      <c r="O20" s="50">
        <v>0</v>
      </c>
      <c r="P20" s="50">
        <f t="shared" si="9"/>
        <v>600000</v>
      </c>
      <c r="Q20" s="50">
        <f t="shared" si="10"/>
        <v>4293920000</v>
      </c>
      <c r="R20" s="50">
        <f t="shared" si="11"/>
        <v>740280000</v>
      </c>
      <c r="S20" s="50">
        <f t="shared" si="12"/>
        <v>3554240000</v>
      </c>
      <c r="T20" s="50">
        <f t="shared" si="13"/>
        <v>600000</v>
      </c>
      <c r="U20" s="50">
        <f t="shared" si="14"/>
        <v>600000</v>
      </c>
      <c r="V20" s="50">
        <f t="shared" si="15"/>
        <v>0</v>
      </c>
      <c r="W20" s="84" t="s">
        <v>124</v>
      </c>
      <c r="X20" s="52"/>
      <c r="Z20" s="54"/>
    </row>
    <row r="21" spans="1:26" s="53" customFormat="1" ht="41.25" customHeight="1">
      <c r="A21" s="55">
        <f t="shared" si="16"/>
        <v>13</v>
      </c>
      <c r="B21" s="48" t="s">
        <v>129</v>
      </c>
      <c r="C21" s="56" t="s">
        <v>114</v>
      </c>
      <c r="D21" s="56" t="s">
        <v>114</v>
      </c>
      <c r="E21" s="57">
        <v>24090692192</v>
      </c>
      <c r="F21" s="50">
        <v>0</v>
      </c>
      <c r="G21" s="50">
        <f t="shared" si="0"/>
        <v>24090692192</v>
      </c>
      <c r="H21" s="50">
        <v>0</v>
      </c>
      <c r="I21" s="50">
        <v>0</v>
      </c>
      <c r="J21" s="50">
        <v>0</v>
      </c>
      <c r="K21" s="50">
        <f t="shared" si="1"/>
        <v>24090692192</v>
      </c>
      <c r="L21" s="50">
        <v>0</v>
      </c>
      <c r="M21" s="50">
        <v>1806957986</v>
      </c>
      <c r="N21" s="50">
        <v>0</v>
      </c>
      <c r="O21" s="50">
        <v>0</v>
      </c>
      <c r="P21" s="50">
        <f t="shared" si="9"/>
        <v>1806957986</v>
      </c>
      <c r="Q21" s="50">
        <f t="shared" si="10"/>
        <v>22283734206</v>
      </c>
      <c r="R21" s="50">
        <f t="shared" si="11"/>
        <v>24090692192</v>
      </c>
      <c r="S21" s="50">
        <f t="shared" si="12"/>
        <v>0</v>
      </c>
      <c r="T21" s="50">
        <f t="shared" si="13"/>
        <v>1806957986</v>
      </c>
      <c r="U21" s="50">
        <f t="shared" si="14"/>
        <v>1806957986</v>
      </c>
      <c r="V21" s="50">
        <f t="shared" si="15"/>
        <v>0</v>
      </c>
      <c r="W21" s="58"/>
      <c r="X21" s="52"/>
      <c r="Z21" s="54"/>
    </row>
    <row r="22" spans="1:26" s="65" customFormat="1" ht="42.75" customHeight="1">
      <c r="A22" s="59"/>
      <c r="B22" s="60" t="s">
        <v>12</v>
      </c>
      <c r="C22" s="61"/>
      <c r="D22" s="62"/>
      <c r="E22" s="62">
        <f t="shared" ref="E22:V22" si="17">SUM(E9:E21)</f>
        <v>295305297746</v>
      </c>
      <c r="F22" s="62">
        <f t="shared" si="17"/>
        <v>12388138107</v>
      </c>
      <c r="G22" s="62">
        <f t="shared" si="17"/>
        <v>307693435853</v>
      </c>
      <c r="H22" s="62">
        <f t="shared" si="17"/>
        <v>5439393818</v>
      </c>
      <c r="I22" s="62">
        <f t="shared" si="17"/>
        <v>7787483556</v>
      </c>
      <c r="J22" s="62">
        <f t="shared" si="17"/>
        <v>2765450010</v>
      </c>
      <c r="K22" s="62">
        <f t="shared" si="17"/>
        <v>323685763237</v>
      </c>
      <c r="L22" s="62">
        <f t="shared" si="17"/>
        <v>7395579910</v>
      </c>
      <c r="M22" s="62">
        <f t="shared" si="17"/>
        <v>14389930209</v>
      </c>
      <c r="N22" s="62">
        <f t="shared" si="17"/>
        <v>356420414</v>
      </c>
      <c r="O22" s="62">
        <f t="shared" si="17"/>
        <v>42102472</v>
      </c>
      <c r="P22" s="62">
        <f t="shared" si="17"/>
        <v>14788453095</v>
      </c>
      <c r="Q22" s="62">
        <f t="shared" si="17"/>
        <v>301501730232</v>
      </c>
      <c r="R22" s="62">
        <f t="shared" si="17"/>
        <v>300744691564</v>
      </c>
      <c r="S22" s="62">
        <f t="shared" si="17"/>
        <v>22941071673</v>
      </c>
      <c r="T22" s="62">
        <f t="shared" si="17"/>
        <v>14788453095</v>
      </c>
      <c r="U22" s="62">
        <f t="shared" si="17"/>
        <v>14746350623</v>
      </c>
      <c r="V22" s="62">
        <f t="shared" si="17"/>
        <v>42102472</v>
      </c>
      <c r="W22" s="63"/>
      <c r="X22" s="64"/>
    </row>
    <row r="23" spans="1:26" ht="21" customHeight="1">
      <c r="A23" s="66"/>
      <c r="B23" s="67"/>
      <c r="C23" s="68"/>
      <c r="D23" s="69"/>
      <c r="E23" s="70"/>
      <c r="F23" s="69"/>
      <c r="G23" s="70"/>
      <c r="H23" s="69"/>
      <c r="I23" s="69"/>
      <c r="J23" s="69"/>
      <c r="K23" s="70"/>
      <c r="L23" s="70"/>
      <c r="M23" s="69"/>
      <c r="N23" s="70"/>
      <c r="O23" s="69"/>
      <c r="P23" s="70"/>
      <c r="Q23" s="71"/>
      <c r="R23" s="71"/>
      <c r="S23" s="71"/>
      <c r="T23" s="70"/>
      <c r="U23" s="70"/>
      <c r="V23" s="70"/>
      <c r="W23" s="69"/>
    </row>
    <row r="24" spans="1:26" s="76" customFormat="1" ht="31.2">
      <c r="A24" s="74"/>
      <c r="B24" s="75"/>
      <c r="C24" s="86" t="s">
        <v>56</v>
      </c>
      <c r="D24" s="86"/>
      <c r="E24" s="86"/>
      <c r="F24" s="86"/>
      <c r="G24" s="86"/>
      <c r="I24" s="69"/>
      <c r="K24" s="77"/>
      <c r="M24" s="77"/>
      <c r="N24" s="26"/>
      <c r="O24" s="78"/>
      <c r="P24" s="86" t="s">
        <v>1</v>
      </c>
      <c r="Q24" s="86"/>
      <c r="R24" s="86"/>
      <c r="S24" s="86"/>
      <c r="T24" s="86"/>
      <c r="U24" s="86"/>
      <c r="V24" s="86"/>
      <c r="X24" s="79"/>
    </row>
    <row r="25" spans="1:26">
      <c r="T25" s="82"/>
    </row>
  </sheetData>
  <autoFilter ref="A8:X24" xr:uid="{00000000-0009-0000-0000-000001000000}"/>
  <mergeCells count="22">
    <mergeCell ref="C24:G24"/>
    <mergeCell ref="P24:V24"/>
    <mergeCell ref="T5:T7"/>
    <mergeCell ref="U5:U7"/>
    <mergeCell ref="V5:V7"/>
    <mergeCell ref="W5:W7"/>
    <mergeCell ref="X5:X7"/>
    <mergeCell ref="E6:K6"/>
    <mergeCell ref="L6:P6"/>
    <mergeCell ref="Q6:Q7"/>
    <mergeCell ref="R6:R7"/>
    <mergeCell ref="S6:S7"/>
    <mergeCell ref="A1:F1"/>
    <mergeCell ref="P1:W1"/>
    <mergeCell ref="A2:F2"/>
    <mergeCell ref="P2:W2"/>
    <mergeCell ref="A3:W3"/>
    <mergeCell ref="A5:A8"/>
    <mergeCell ref="B5:B8"/>
    <mergeCell ref="C5:C8"/>
    <mergeCell ref="D5:D8"/>
    <mergeCell ref="E5:S5"/>
  </mergeCells>
  <pageMargins left="0.31" right="0" top="0.6" bottom="0.74803149606299202" header="0.31496062992126" footer="0.31496062992126"/>
  <pageSetup paperSize="9" scale="2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29"/>
  <sheetViews>
    <sheetView zoomScale="55" zoomScaleNormal="55" zoomScaleSheetLayoutView="55" workbookViewId="0">
      <pane xSplit="4" ySplit="8" topLeftCell="L18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ColWidth="9.109375" defaultRowHeight="13.8"/>
  <cols>
    <col min="1" max="1" width="7" style="80" customWidth="1"/>
    <col min="2" max="2" width="47" style="81" customWidth="1"/>
    <col min="3" max="4" width="10.33203125" style="73" customWidth="1"/>
    <col min="5" max="5" width="22.109375" style="73" customWidth="1"/>
    <col min="6" max="6" width="20.5546875" style="73" customWidth="1"/>
    <col min="7" max="7" width="25.88671875" style="73" customWidth="1"/>
    <col min="8" max="8" width="20.109375" style="73" customWidth="1"/>
    <col min="9" max="9" width="20" style="73" customWidth="1"/>
    <col min="10" max="10" width="19.44140625" style="73" customWidth="1"/>
    <col min="11" max="11" width="21.6640625" style="82" customWidth="1"/>
    <col min="12" max="12" width="19.109375" style="73" customWidth="1"/>
    <col min="13" max="13" width="22.88671875" style="73" customWidth="1"/>
    <col min="14" max="14" width="20.44140625" style="73" customWidth="1"/>
    <col min="15" max="15" width="19.5546875" style="73" customWidth="1"/>
    <col min="16" max="16" width="18.5546875" style="73" customWidth="1"/>
    <col min="17" max="17" width="21.109375" style="73" customWidth="1"/>
    <col min="18" max="18" width="21.6640625" style="73" customWidth="1"/>
    <col min="19" max="19" width="19.33203125" style="73" customWidth="1"/>
    <col min="20" max="20" width="19.44140625" style="73" customWidth="1"/>
    <col min="21" max="21" width="23.33203125" style="73" customWidth="1"/>
    <col min="22" max="22" width="20.33203125" style="73" customWidth="1"/>
    <col min="23" max="23" width="26.44140625" style="73" customWidth="1"/>
    <col min="24" max="24" width="27" style="72" customWidth="1"/>
    <col min="25" max="25" width="20.6640625" style="73" customWidth="1"/>
    <col min="26" max="26" width="17.88671875" style="73" customWidth="1"/>
    <col min="27" max="27" width="12.88671875" style="73" bestFit="1" customWidth="1"/>
    <col min="28" max="16384" width="9.109375" style="73"/>
  </cols>
  <sheetData>
    <row r="1" spans="1:26" s="35" customFormat="1" ht="25.5" customHeight="1">
      <c r="A1" s="90" t="s">
        <v>0</v>
      </c>
      <c r="B1" s="90"/>
      <c r="C1" s="90"/>
      <c r="D1" s="90"/>
      <c r="E1" s="90"/>
      <c r="F1" s="90"/>
      <c r="G1" s="33"/>
      <c r="H1" s="33"/>
      <c r="I1" s="33"/>
      <c r="J1" s="33"/>
      <c r="K1" s="33"/>
      <c r="P1" s="91" t="s">
        <v>53</v>
      </c>
      <c r="Q1" s="91"/>
      <c r="R1" s="91"/>
      <c r="S1" s="91"/>
      <c r="T1" s="91"/>
      <c r="U1" s="91"/>
      <c r="V1" s="91"/>
      <c r="W1" s="91"/>
      <c r="X1" s="36"/>
    </row>
    <row r="2" spans="1:26" s="35" customFormat="1" ht="25.5" customHeight="1">
      <c r="A2" s="91" t="s">
        <v>77</v>
      </c>
      <c r="B2" s="91"/>
      <c r="C2" s="91"/>
      <c r="D2" s="91"/>
      <c r="E2" s="91"/>
      <c r="F2" s="91"/>
      <c r="G2" s="33"/>
      <c r="H2" s="33"/>
      <c r="I2" s="33"/>
      <c r="J2" s="33"/>
      <c r="K2" s="33"/>
      <c r="M2" s="33"/>
      <c r="N2" s="33"/>
      <c r="O2" s="33"/>
      <c r="P2" s="92" t="s">
        <v>54</v>
      </c>
      <c r="Q2" s="91"/>
      <c r="R2" s="91"/>
      <c r="S2" s="91"/>
      <c r="T2" s="91"/>
      <c r="U2" s="91"/>
      <c r="V2" s="91"/>
      <c r="W2" s="91"/>
      <c r="X2" s="36"/>
    </row>
    <row r="3" spans="1:26" s="38" customFormat="1" ht="36" customHeight="1">
      <c r="A3" s="93" t="s">
        <v>111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37"/>
    </row>
    <row r="4" spans="1:26" s="38" customFormat="1" ht="26.25" customHeight="1">
      <c r="A4" s="29"/>
      <c r="B4" s="3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9"/>
      <c r="Q4" s="29"/>
      <c r="R4" s="29"/>
      <c r="S4" s="29"/>
      <c r="T4" s="29"/>
      <c r="U4" s="29"/>
      <c r="V4" s="29"/>
      <c r="W4" s="29"/>
      <c r="X4" s="37"/>
    </row>
    <row r="5" spans="1:26" s="40" customFormat="1" ht="26.25" customHeight="1">
      <c r="A5" s="94" t="s">
        <v>2</v>
      </c>
      <c r="B5" s="95" t="s">
        <v>3</v>
      </c>
      <c r="C5" s="94" t="s">
        <v>4</v>
      </c>
      <c r="D5" s="94" t="s">
        <v>5</v>
      </c>
      <c r="E5" s="88" t="s">
        <v>13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7" t="s">
        <v>14</v>
      </c>
      <c r="U5" s="88" t="s">
        <v>15</v>
      </c>
      <c r="V5" s="88" t="s">
        <v>16</v>
      </c>
      <c r="W5" s="88" t="s">
        <v>17</v>
      </c>
      <c r="X5" s="89"/>
    </row>
    <row r="6" spans="1:26" s="38" customFormat="1" ht="28.5" customHeight="1">
      <c r="A6" s="94"/>
      <c r="B6" s="95"/>
      <c r="C6" s="94"/>
      <c r="D6" s="94"/>
      <c r="E6" s="88" t="s">
        <v>18</v>
      </c>
      <c r="F6" s="88"/>
      <c r="G6" s="88"/>
      <c r="H6" s="88"/>
      <c r="I6" s="88"/>
      <c r="J6" s="88"/>
      <c r="K6" s="88"/>
      <c r="L6" s="88" t="s">
        <v>19</v>
      </c>
      <c r="M6" s="88"/>
      <c r="N6" s="88"/>
      <c r="O6" s="88"/>
      <c r="P6" s="88"/>
      <c r="Q6" s="88" t="s">
        <v>20</v>
      </c>
      <c r="R6" s="88" t="s">
        <v>21</v>
      </c>
      <c r="S6" s="88" t="s">
        <v>22</v>
      </c>
      <c r="T6" s="87"/>
      <c r="U6" s="88"/>
      <c r="V6" s="88"/>
      <c r="W6" s="88"/>
      <c r="X6" s="89"/>
    </row>
    <row r="7" spans="1:26" s="40" customFormat="1" ht="50.25" customHeight="1">
      <c r="A7" s="94"/>
      <c r="B7" s="95"/>
      <c r="C7" s="94"/>
      <c r="D7" s="94"/>
      <c r="E7" s="41" t="s">
        <v>23</v>
      </c>
      <c r="F7" s="41" t="s">
        <v>24</v>
      </c>
      <c r="G7" s="41" t="s">
        <v>25</v>
      </c>
      <c r="H7" s="42" t="s">
        <v>55</v>
      </c>
      <c r="I7" s="42" t="s">
        <v>26</v>
      </c>
      <c r="J7" s="42" t="s">
        <v>27</v>
      </c>
      <c r="K7" s="43" t="s">
        <v>28</v>
      </c>
      <c r="L7" s="41" t="s">
        <v>29</v>
      </c>
      <c r="M7" s="41" t="s">
        <v>30</v>
      </c>
      <c r="N7" s="41" t="s">
        <v>31</v>
      </c>
      <c r="O7" s="41" t="s">
        <v>32</v>
      </c>
      <c r="P7" s="41" t="s">
        <v>33</v>
      </c>
      <c r="Q7" s="88"/>
      <c r="R7" s="88"/>
      <c r="S7" s="88"/>
      <c r="T7" s="87"/>
      <c r="U7" s="88"/>
      <c r="V7" s="88"/>
      <c r="W7" s="88"/>
      <c r="X7" s="89"/>
    </row>
    <row r="8" spans="1:26" s="38" customFormat="1" ht="24" customHeight="1">
      <c r="A8" s="94"/>
      <c r="B8" s="95"/>
      <c r="C8" s="94"/>
      <c r="D8" s="94"/>
      <c r="E8" s="44" t="s">
        <v>34</v>
      </c>
      <c r="F8" s="44" t="s">
        <v>35</v>
      </c>
      <c r="G8" s="44" t="s">
        <v>36</v>
      </c>
      <c r="H8" s="44" t="s">
        <v>37</v>
      </c>
      <c r="I8" s="44" t="s">
        <v>38</v>
      </c>
      <c r="J8" s="44" t="s">
        <v>39</v>
      </c>
      <c r="K8" s="45" t="s">
        <v>40</v>
      </c>
      <c r="L8" s="44" t="s">
        <v>41</v>
      </c>
      <c r="M8" s="44" t="s">
        <v>42</v>
      </c>
      <c r="N8" s="44" t="s">
        <v>43</v>
      </c>
      <c r="O8" s="44" t="s">
        <v>44</v>
      </c>
      <c r="P8" s="44" t="s">
        <v>45</v>
      </c>
      <c r="Q8" s="44" t="s">
        <v>46</v>
      </c>
      <c r="R8" s="44" t="s">
        <v>47</v>
      </c>
      <c r="S8" s="44" t="s">
        <v>48</v>
      </c>
      <c r="T8" s="44" t="s">
        <v>49</v>
      </c>
      <c r="U8" s="44" t="s">
        <v>50</v>
      </c>
      <c r="V8" s="44" t="s">
        <v>51</v>
      </c>
      <c r="W8" s="44" t="s">
        <v>52</v>
      </c>
      <c r="X8" s="46"/>
    </row>
    <row r="9" spans="1:26" s="53" customFormat="1" ht="41.25" customHeight="1">
      <c r="A9" s="47">
        <v>1</v>
      </c>
      <c r="B9" s="83" t="s">
        <v>93</v>
      </c>
      <c r="C9" s="49" t="s">
        <v>76</v>
      </c>
      <c r="D9" s="49" t="s">
        <v>94</v>
      </c>
      <c r="E9" s="50">
        <v>138027997198</v>
      </c>
      <c r="F9" s="50">
        <v>0</v>
      </c>
      <c r="G9" s="50">
        <f t="shared" ref="G9:G25" si="0">E9+F9</f>
        <v>138027997198</v>
      </c>
      <c r="H9" s="50">
        <v>5579779376</v>
      </c>
      <c r="I9" s="50">
        <v>7285050216</v>
      </c>
      <c r="J9" s="50">
        <v>2597128129</v>
      </c>
      <c r="K9" s="50">
        <f t="shared" ref="K9:K19" si="1">G9+H9+I9+J9</f>
        <v>153489954919</v>
      </c>
      <c r="L9" s="50">
        <v>6818708618</v>
      </c>
      <c r="M9" s="50">
        <v>12524436687</v>
      </c>
      <c r="N9" s="50">
        <v>199996973</v>
      </c>
      <c r="O9" s="50">
        <v>0</v>
      </c>
      <c r="P9" s="50">
        <f t="shared" ref="P9" si="2">M9+N9+O9</f>
        <v>12724433660</v>
      </c>
      <c r="Q9" s="50">
        <f t="shared" ref="Q9" si="3">K9-L9-P9</f>
        <v>133946812641</v>
      </c>
      <c r="R9" s="50">
        <f t="shared" ref="R9" si="4">E9+H9</f>
        <v>143607776574</v>
      </c>
      <c r="S9" s="50">
        <f t="shared" ref="S9" si="5">F9+I9+J9</f>
        <v>9882178345</v>
      </c>
      <c r="T9" s="50">
        <f t="shared" ref="T9" si="6">P9</f>
        <v>12724433660</v>
      </c>
      <c r="U9" s="50">
        <f t="shared" ref="U9" si="7">M9+N9</f>
        <v>12724433660</v>
      </c>
      <c r="V9" s="50">
        <f t="shared" ref="V9" si="8">T9-U9</f>
        <v>0</v>
      </c>
      <c r="W9" s="51"/>
      <c r="X9" s="52"/>
      <c r="Z9" s="54"/>
    </row>
    <row r="10" spans="1:26" s="53" customFormat="1" ht="41.25" customHeight="1">
      <c r="A10" s="55">
        <f>A9+1</f>
        <v>2</v>
      </c>
      <c r="B10" s="83" t="s">
        <v>95</v>
      </c>
      <c r="C10" s="49" t="s">
        <v>76</v>
      </c>
      <c r="D10" s="49" t="s">
        <v>94</v>
      </c>
      <c r="E10" s="50">
        <v>15224669255</v>
      </c>
      <c r="F10" s="50">
        <v>0</v>
      </c>
      <c r="G10" s="50">
        <f t="shared" si="0"/>
        <v>15224669255</v>
      </c>
      <c r="H10" s="50">
        <v>67507500</v>
      </c>
      <c r="I10" s="50">
        <v>563195008</v>
      </c>
      <c r="J10" s="50">
        <v>188556244</v>
      </c>
      <c r="K10" s="50">
        <f t="shared" si="1"/>
        <v>16043928007</v>
      </c>
      <c r="L10" s="50">
        <v>606652487</v>
      </c>
      <c r="M10" s="50">
        <v>3067091371</v>
      </c>
      <c r="N10" s="50">
        <v>3659237</v>
      </c>
      <c r="O10" s="50">
        <v>0</v>
      </c>
      <c r="P10" s="50">
        <f t="shared" ref="P10:P19" si="9">M10+N10+O10</f>
        <v>3070750608</v>
      </c>
      <c r="Q10" s="50">
        <f t="shared" ref="Q10:Q19" si="10">K10-L10-P10</f>
        <v>12366524912</v>
      </c>
      <c r="R10" s="50">
        <f t="shared" ref="R10:R19" si="11">E10+H10</f>
        <v>15292176755</v>
      </c>
      <c r="S10" s="50">
        <f t="shared" ref="S10:S19" si="12">F10+I10+J10</f>
        <v>751751252</v>
      </c>
      <c r="T10" s="50">
        <f t="shared" ref="T10:T19" si="13">P10</f>
        <v>3070750608</v>
      </c>
      <c r="U10" s="50">
        <f t="shared" ref="U10:U19" si="14">M10+N10</f>
        <v>3070750608</v>
      </c>
      <c r="V10" s="50">
        <f t="shared" ref="V10:V19" si="15">T10-U10</f>
        <v>0</v>
      </c>
      <c r="W10" s="51"/>
      <c r="X10" s="52"/>
      <c r="Z10" s="54"/>
    </row>
    <row r="11" spans="1:26" s="53" customFormat="1" ht="41.25" customHeight="1">
      <c r="A11" s="55">
        <f t="shared" ref="A11:A25" si="16">A10+1</f>
        <v>3</v>
      </c>
      <c r="B11" s="83" t="s">
        <v>96</v>
      </c>
      <c r="C11" s="49" t="s">
        <v>76</v>
      </c>
      <c r="D11" s="49" t="s">
        <v>94</v>
      </c>
      <c r="E11" s="50">
        <v>1022514667</v>
      </c>
      <c r="F11" s="50">
        <v>0</v>
      </c>
      <c r="G11" s="50">
        <f t="shared" si="0"/>
        <v>1022514667</v>
      </c>
      <c r="H11" s="50">
        <v>0</v>
      </c>
      <c r="I11" s="50">
        <v>0</v>
      </c>
      <c r="J11" s="50">
        <v>0</v>
      </c>
      <c r="K11" s="50">
        <f t="shared" si="1"/>
        <v>1022514667</v>
      </c>
      <c r="L11" s="50">
        <v>24913980</v>
      </c>
      <c r="M11" s="50">
        <v>272557891</v>
      </c>
      <c r="N11" s="50">
        <v>0</v>
      </c>
      <c r="O11" s="50">
        <v>0</v>
      </c>
      <c r="P11" s="50">
        <f t="shared" si="9"/>
        <v>272557891</v>
      </c>
      <c r="Q11" s="50">
        <f t="shared" si="10"/>
        <v>725042796</v>
      </c>
      <c r="R11" s="50">
        <f t="shared" si="11"/>
        <v>1022514667</v>
      </c>
      <c r="S11" s="50">
        <f t="shared" si="12"/>
        <v>0</v>
      </c>
      <c r="T11" s="50">
        <f t="shared" si="13"/>
        <v>272557891</v>
      </c>
      <c r="U11" s="50">
        <f t="shared" si="14"/>
        <v>272557891</v>
      </c>
      <c r="V11" s="50">
        <f t="shared" si="15"/>
        <v>0</v>
      </c>
      <c r="W11" s="51"/>
      <c r="X11" s="52"/>
      <c r="Z11" s="54"/>
    </row>
    <row r="12" spans="1:26" s="53" customFormat="1" ht="38.25" customHeight="1">
      <c r="A12" s="55">
        <f t="shared" si="16"/>
        <v>4</v>
      </c>
      <c r="B12" s="83" t="s">
        <v>97</v>
      </c>
      <c r="C12" s="49" t="s">
        <v>75</v>
      </c>
      <c r="D12" s="49" t="s">
        <v>94</v>
      </c>
      <c r="E12" s="50">
        <v>13355206397</v>
      </c>
      <c r="F12" s="50">
        <v>0</v>
      </c>
      <c r="G12" s="50">
        <f t="shared" si="0"/>
        <v>13355206397</v>
      </c>
      <c r="H12" s="50">
        <v>0</v>
      </c>
      <c r="I12" s="50">
        <v>0</v>
      </c>
      <c r="J12" s="50">
        <v>0</v>
      </c>
      <c r="K12" s="50">
        <f t="shared" si="1"/>
        <v>13355206397</v>
      </c>
      <c r="L12" s="50">
        <v>0</v>
      </c>
      <c r="M12" s="50">
        <v>3785297293</v>
      </c>
      <c r="N12" s="50">
        <v>0</v>
      </c>
      <c r="O12" s="50">
        <v>0</v>
      </c>
      <c r="P12" s="50">
        <f t="shared" si="9"/>
        <v>3785297293</v>
      </c>
      <c r="Q12" s="50">
        <f t="shared" si="10"/>
        <v>9569909104</v>
      </c>
      <c r="R12" s="50">
        <f t="shared" si="11"/>
        <v>13355206397</v>
      </c>
      <c r="S12" s="50">
        <f t="shared" si="12"/>
        <v>0</v>
      </c>
      <c r="T12" s="50">
        <f t="shared" si="13"/>
        <v>3785297293</v>
      </c>
      <c r="U12" s="50">
        <f t="shared" si="14"/>
        <v>3785297293</v>
      </c>
      <c r="V12" s="50">
        <f t="shared" si="15"/>
        <v>0</v>
      </c>
      <c r="W12" s="51"/>
      <c r="X12" s="52"/>
      <c r="Z12" s="54"/>
    </row>
    <row r="13" spans="1:26" s="53" customFormat="1" ht="41.25" customHeight="1">
      <c r="A13" s="55">
        <f t="shared" si="16"/>
        <v>5</v>
      </c>
      <c r="B13" s="83" t="s">
        <v>99</v>
      </c>
      <c r="C13" s="56" t="s">
        <v>75</v>
      </c>
      <c r="D13" s="56" t="s">
        <v>94</v>
      </c>
      <c r="E13" s="57">
        <v>62451578397</v>
      </c>
      <c r="F13" s="50">
        <v>0</v>
      </c>
      <c r="G13" s="50">
        <f t="shared" si="0"/>
        <v>62451578397</v>
      </c>
      <c r="H13" s="50">
        <v>0</v>
      </c>
      <c r="I13" s="50">
        <v>0</v>
      </c>
      <c r="J13" s="50">
        <v>0</v>
      </c>
      <c r="K13" s="50">
        <f t="shared" si="1"/>
        <v>62451578397</v>
      </c>
      <c r="L13" s="50">
        <v>0</v>
      </c>
      <c r="M13" s="50">
        <v>10840888957</v>
      </c>
      <c r="N13" s="50">
        <v>8557013</v>
      </c>
      <c r="O13" s="50">
        <v>0</v>
      </c>
      <c r="P13" s="50">
        <f t="shared" si="9"/>
        <v>10849445970</v>
      </c>
      <c r="Q13" s="50">
        <f t="shared" si="10"/>
        <v>51602132427</v>
      </c>
      <c r="R13" s="50">
        <f t="shared" si="11"/>
        <v>62451578397</v>
      </c>
      <c r="S13" s="50">
        <f t="shared" si="12"/>
        <v>0</v>
      </c>
      <c r="T13" s="50">
        <f t="shared" si="13"/>
        <v>10849445970</v>
      </c>
      <c r="U13" s="50">
        <f t="shared" si="14"/>
        <v>10849445970</v>
      </c>
      <c r="V13" s="50">
        <f t="shared" si="15"/>
        <v>0</v>
      </c>
      <c r="W13" s="51"/>
      <c r="X13" s="52"/>
      <c r="Z13" s="54"/>
    </row>
    <row r="14" spans="1:26" s="53" customFormat="1" ht="41.25" customHeight="1">
      <c r="A14" s="55">
        <f t="shared" si="16"/>
        <v>6</v>
      </c>
      <c r="B14" s="83" t="s">
        <v>102</v>
      </c>
      <c r="C14" s="56" t="s">
        <v>75</v>
      </c>
      <c r="D14" s="56" t="s">
        <v>94</v>
      </c>
      <c r="E14" s="57">
        <v>711190047</v>
      </c>
      <c r="F14" s="50">
        <v>0</v>
      </c>
      <c r="G14" s="50">
        <f>E14+F14</f>
        <v>711190047</v>
      </c>
      <c r="H14" s="50">
        <v>0</v>
      </c>
      <c r="I14" s="50">
        <v>0</v>
      </c>
      <c r="J14" s="50">
        <v>0</v>
      </c>
      <c r="K14" s="50">
        <f>G14+H14+I14+J14</f>
        <v>711190047</v>
      </c>
      <c r="L14" s="50">
        <v>0</v>
      </c>
      <c r="M14" s="50">
        <v>217412267</v>
      </c>
      <c r="N14" s="50">
        <v>0</v>
      </c>
      <c r="O14" s="50">
        <v>0</v>
      </c>
      <c r="P14" s="50">
        <f>M14+N14+O14</f>
        <v>217412267</v>
      </c>
      <c r="Q14" s="50">
        <f>K14-L14-P14</f>
        <v>493777780</v>
      </c>
      <c r="R14" s="50">
        <f>E14+H14</f>
        <v>711190047</v>
      </c>
      <c r="S14" s="50">
        <f>F14+I14+J14</f>
        <v>0</v>
      </c>
      <c r="T14" s="50">
        <f>P14</f>
        <v>217412267</v>
      </c>
      <c r="U14" s="50">
        <f>M14+N14</f>
        <v>217412267</v>
      </c>
      <c r="V14" s="50">
        <f>T14-U14</f>
        <v>0</v>
      </c>
      <c r="W14" s="58"/>
      <c r="X14" s="52"/>
      <c r="Z14" s="54"/>
    </row>
    <row r="15" spans="1:26" s="53" customFormat="1" ht="41.25" customHeight="1">
      <c r="A15" s="55">
        <f t="shared" si="16"/>
        <v>7</v>
      </c>
      <c r="B15" s="83" t="s">
        <v>100</v>
      </c>
      <c r="C15" s="56" t="s">
        <v>75</v>
      </c>
      <c r="D15" s="56" t="s">
        <v>94</v>
      </c>
      <c r="E15" s="57">
        <v>791337505</v>
      </c>
      <c r="F15" s="50">
        <v>0</v>
      </c>
      <c r="G15" s="50">
        <f t="shared" si="0"/>
        <v>791337505</v>
      </c>
      <c r="H15" s="50">
        <v>0</v>
      </c>
      <c r="I15" s="50">
        <v>0</v>
      </c>
      <c r="J15" s="50">
        <v>0</v>
      </c>
      <c r="K15" s="50">
        <f t="shared" si="1"/>
        <v>791337505</v>
      </c>
      <c r="L15" s="50">
        <v>0</v>
      </c>
      <c r="M15" s="50">
        <v>60433162</v>
      </c>
      <c r="N15" s="50">
        <v>0</v>
      </c>
      <c r="O15" s="50">
        <v>0</v>
      </c>
      <c r="P15" s="50">
        <f t="shared" si="9"/>
        <v>60433162</v>
      </c>
      <c r="Q15" s="50">
        <f t="shared" si="10"/>
        <v>730904343</v>
      </c>
      <c r="R15" s="50">
        <f t="shared" si="11"/>
        <v>791337505</v>
      </c>
      <c r="S15" s="50">
        <f t="shared" si="12"/>
        <v>0</v>
      </c>
      <c r="T15" s="50">
        <f t="shared" si="13"/>
        <v>60433162</v>
      </c>
      <c r="U15" s="50">
        <f t="shared" si="14"/>
        <v>60433162</v>
      </c>
      <c r="V15" s="50">
        <f t="shared" si="15"/>
        <v>0</v>
      </c>
      <c r="W15" s="51"/>
      <c r="X15" s="52"/>
      <c r="Z15" s="54"/>
    </row>
    <row r="16" spans="1:26" s="53" customFormat="1" ht="41.25" customHeight="1">
      <c r="A16" s="55">
        <f t="shared" si="16"/>
        <v>8</v>
      </c>
      <c r="B16" s="83" t="s">
        <v>101</v>
      </c>
      <c r="C16" s="56" t="s">
        <v>75</v>
      </c>
      <c r="D16" s="56" t="s">
        <v>94</v>
      </c>
      <c r="E16" s="57">
        <v>28969984256</v>
      </c>
      <c r="F16" s="50">
        <v>0</v>
      </c>
      <c r="G16" s="50">
        <f t="shared" si="0"/>
        <v>28969984256</v>
      </c>
      <c r="H16" s="50">
        <v>0</v>
      </c>
      <c r="I16" s="50">
        <v>0</v>
      </c>
      <c r="J16" s="50">
        <v>0</v>
      </c>
      <c r="K16" s="50">
        <f t="shared" si="1"/>
        <v>28969984256</v>
      </c>
      <c r="L16" s="50">
        <v>0</v>
      </c>
      <c r="M16" s="50">
        <v>1184165693</v>
      </c>
      <c r="N16" s="50">
        <v>0</v>
      </c>
      <c r="O16" s="50">
        <v>0</v>
      </c>
      <c r="P16" s="50">
        <f t="shared" si="9"/>
        <v>1184165693</v>
      </c>
      <c r="Q16" s="50">
        <f t="shared" si="10"/>
        <v>27785818563</v>
      </c>
      <c r="R16" s="50">
        <f t="shared" si="11"/>
        <v>28969984256</v>
      </c>
      <c r="S16" s="50">
        <f t="shared" si="12"/>
        <v>0</v>
      </c>
      <c r="T16" s="50">
        <f t="shared" si="13"/>
        <v>1184165693</v>
      </c>
      <c r="U16" s="50">
        <f t="shared" si="14"/>
        <v>1184165693</v>
      </c>
      <c r="V16" s="50">
        <f t="shared" si="15"/>
        <v>0</v>
      </c>
      <c r="W16" s="58"/>
      <c r="X16" s="52"/>
      <c r="Z16" s="54"/>
    </row>
    <row r="17" spans="1:26" s="53" customFormat="1" ht="41.25" customHeight="1">
      <c r="A17" s="55">
        <f t="shared" si="16"/>
        <v>9</v>
      </c>
      <c r="B17" s="83" t="s">
        <v>98</v>
      </c>
      <c r="C17" s="56" t="s">
        <v>75</v>
      </c>
      <c r="D17" s="56" t="s">
        <v>94</v>
      </c>
      <c r="E17" s="57">
        <f>61617386893+62728885809</f>
        <v>124346272702</v>
      </c>
      <c r="F17" s="50">
        <v>0</v>
      </c>
      <c r="G17" s="50">
        <f>E17+F17</f>
        <v>124346272702</v>
      </c>
      <c r="H17" s="50">
        <v>0</v>
      </c>
      <c r="I17" s="50">
        <v>0</v>
      </c>
      <c r="J17" s="50">
        <v>0</v>
      </c>
      <c r="K17" s="50">
        <f>G17+H17+I17+J17</f>
        <v>124346272702</v>
      </c>
      <c r="L17" s="50">
        <v>0</v>
      </c>
      <c r="M17" s="50">
        <f>1036115662+1080119146</f>
        <v>2116234808</v>
      </c>
      <c r="N17" s="50">
        <v>0</v>
      </c>
      <c r="O17" s="50">
        <v>0</v>
      </c>
      <c r="P17" s="50">
        <f>M17+N17+O17</f>
        <v>2116234808</v>
      </c>
      <c r="Q17" s="50">
        <f>K17-L17-P17</f>
        <v>122230037894</v>
      </c>
      <c r="R17" s="50">
        <f>E17+H17</f>
        <v>124346272702</v>
      </c>
      <c r="S17" s="50">
        <f>F17+I17+J17</f>
        <v>0</v>
      </c>
      <c r="T17" s="50">
        <f>P17</f>
        <v>2116234808</v>
      </c>
      <c r="U17" s="50">
        <f>M17+N17</f>
        <v>2116234808</v>
      </c>
      <c r="V17" s="50">
        <f>T17-U17</f>
        <v>0</v>
      </c>
      <c r="W17" s="51"/>
      <c r="X17" s="52"/>
      <c r="Z17" s="54"/>
    </row>
    <row r="18" spans="1:26" s="53" customFormat="1" ht="41.25" customHeight="1">
      <c r="A18" s="55">
        <f t="shared" si="16"/>
        <v>10</v>
      </c>
      <c r="B18" s="83" t="s">
        <v>103</v>
      </c>
      <c r="C18" s="56" t="s">
        <v>75</v>
      </c>
      <c r="D18" s="56" t="s">
        <v>94</v>
      </c>
      <c r="E18" s="50">
        <v>2122236663</v>
      </c>
      <c r="F18" s="50">
        <v>0</v>
      </c>
      <c r="G18" s="50">
        <f t="shared" si="0"/>
        <v>2122236663</v>
      </c>
      <c r="H18" s="50">
        <v>0</v>
      </c>
      <c r="I18" s="50">
        <v>0</v>
      </c>
      <c r="J18" s="50">
        <v>0</v>
      </c>
      <c r="K18" s="50">
        <f t="shared" si="1"/>
        <v>2122236663</v>
      </c>
      <c r="L18" s="50">
        <v>0</v>
      </c>
      <c r="M18" s="50">
        <v>217578411</v>
      </c>
      <c r="N18" s="50">
        <v>0</v>
      </c>
      <c r="O18" s="50">
        <v>0</v>
      </c>
      <c r="P18" s="50">
        <f t="shared" si="9"/>
        <v>217578411</v>
      </c>
      <c r="Q18" s="50">
        <f t="shared" si="10"/>
        <v>1904658252</v>
      </c>
      <c r="R18" s="50">
        <f t="shared" si="11"/>
        <v>2122236663</v>
      </c>
      <c r="S18" s="50">
        <f t="shared" si="12"/>
        <v>0</v>
      </c>
      <c r="T18" s="50">
        <f t="shared" si="13"/>
        <v>217578411</v>
      </c>
      <c r="U18" s="50">
        <f t="shared" si="14"/>
        <v>217578411</v>
      </c>
      <c r="V18" s="50">
        <f t="shared" si="15"/>
        <v>0</v>
      </c>
      <c r="W18" s="58"/>
      <c r="X18" s="52"/>
      <c r="Z18" s="54"/>
    </row>
    <row r="19" spans="1:26" s="53" customFormat="1" ht="41.25" customHeight="1">
      <c r="A19" s="55">
        <f t="shared" si="16"/>
        <v>11</v>
      </c>
      <c r="B19" s="83" t="s">
        <v>104</v>
      </c>
      <c r="C19" s="56" t="s">
        <v>75</v>
      </c>
      <c r="D19" s="56" t="s">
        <v>94</v>
      </c>
      <c r="E19" s="50">
        <v>26453385391</v>
      </c>
      <c r="F19" s="50">
        <v>0</v>
      </c>
      <c r="G19" s="50">
        <f t="shared" si="0"/>
        <v>26453385391</v>
      </c>
      <c r="H19" s="50">
        <v>0</v>
      </c>
      <c r="I19" s="50">
        <v>0</v>
      </c>
      <c r="J19" s="50">
        <v>0</v>
      </c>
      <c r="K19" s="50">
        <f t="shared" si="1"/>
        <v>26453385391</v>
      </c>
      <c r="L19" s="50">
        <v>0</v>
      </c>
      <c r="M19" s="50">
        <v>2338612785</v>
      </c>
      <c r="N19" s="50">
        <v>0</v>
      </c>
      <c r="O19" s="50">
        <v>0</v>
      </c>
      <c r="P19" s="50">
        <f t="shared" si="9"/>
        <v>2338612785</v>
      </c>
      <c r="Q19" s="50">
        <f t="shared" si="10"/>
        <v>24114772606</v>
      </c>
      <c r="R19" s="50">
        <f t="shared" si="11"/>
        <v>26453385391</v>
      </c>
      <c r="S19" s="50">
        <f t="shared" si="12"/>
        <v>0</v>
      </c>
      <c r="T19" s="50">
        <f t="shared" si="13"/>
        <v>2338612785</v>
      </c>
      <c r="U19" s="50">
        <f t="shared" si="14"/>
        <v>2338612785</v>
      </c>
      <c r="V19" s="50">
        <f t="shared" si="15"/>
        <v>0</v>
      </c>
      <c r="W19" s="58"/>
      <c r="X19" s="52"/>
      <c r="Z19" s="54"/>
    </row>
    <row r="20" spans="1:26" s="53" customFormat="1" ht="41.25" customHeight="1">
      <c r="A20" s="55">
        <f t="shared" si="16"/>
        <v>12</v>
      </c>
      <c r="B20" s="48" t="s">
        <v>105</v>
      </c>
      <c r="C20" s="56" t="s">
        <v>76</v>
      </c>
      <c r="D20" s="56" t="s">
        <v>94</v>
      </c>
      <c r="E20" s="57">
        <v>3467347930</v>
      </c>
      <c r="F20" s="50">
        <v>0</v>
      </c>
      <c r="G20" s="50">
        <f t="shared" si="0"/>
        <v>3467347930</v>
      </c>
      <c r="H20" s="50">
        <v>0</v>
      </c>
      <c r="I20" s="50">
        <v>0</v>
      </c>
      <c r="J20" s="50">
        <v>0</v>
      </c>
      <c r="K20" s="50">
        <f t="shared" ref="K20:K25" si="17">G20+H20+I20+J20</f>
        <v>3467347930</v>
      </c>
      <c r="L20" s="50">
        <v>0</v>
      </c>
      <c r="M20" s="50">
        <v>14528333</v>
      </c>
      <c r="N20" s="50">
        <v>40254645</v>
      </c>
      <c r="O20" s="50">
        <v>0</v>
      </c>
      <c r="P20" s="50">
        <f t="shared" ref="P20:P25" si="18">M20+N20+O20</f>
        <v>54782978</v>
      </c>
      <c r="Q20" s="50">
        <f t="shared" ref="Q20:Q25" si="19">K20-L20-P20</f>
        <v>3412564952</v>
      </c>
      <c r="R20" s="50">
        <f t="shared" ref="R20:R25" si="20">E20+H20</f>
        <v>3467347930</v>
      </c>
      <c r="S20" s="50">
        <f t="shared" ref="S20:S25" si="21">F20+I20+J20</f>
        <v>0</v>
      </c>
      <c r="T20" s="50">
        <f t="shared" ref="T20:T25" si="22">P20</f>
        <v>54782978</v>
      </c>
      <c r="U20" s="50">
        <f t="shared" ref="U20:U25" si="23">M20+N20</f>
        <v>54782978</v>
      </c>
      <c r="V20" s="50">
        <f t="shared" ref="V20:V25" si="24">T20-U20</f>
        <v>0</v>
      </c>
      <c r="W20" s="58"/>
      <c r="X20" s="52"/>
      <c r="Z20" s="54"/>
    </row>
    <row r="21" spans="1:26" s="53" customFormat="1" ht="41.25" customHeight="1">
      <c r="A21" s="55">
        <f t="shared" si="16"/>
        <v>13</v>
      </c>
      <c r="B21" s="83" t="s">
        <v>106</v>
      </c>
      <c r="C21" s="56" t="s">
        <v>94</v>
      </c>
      <c r="D21" s="56" t="s">
        <v>94</v>
      </c>
      <c r="E21" s="57">
        <v>850056828</v>
      </c>
      <c r="F21" s="50">
        <v>0</v>
      </c>
      <c r="G21" s="50">
        <f t="shared" si="0"/>
        <v>850056828</v>
      </c>
      <c r="H21" s="50">
        <v>0</v>
      </c>
      <c r="I21" s="50">
        <v>0</v>
      </c>
      <c r="J21" s="50">
        <v>0</v>
      </c>
      <c r="K21" s="50">
        <f t="shared" si="17"/>
        <v>850056828</v>
      </c>
      <c r="L21" s="50">
        <v>0</v>
      </c>
      <c r="M21" s="50">
        <v>58005785</v>
      </c>
      <c r="N21" s="50">
        <v>0</v>
      </c>
      <c r="O21" s="50">
        <v>0</v>
      </c>
      <c r="P21" s="50">
        <f t="shared" si="18"/>
        <v>58005785</v>
      </c>
      <c r="Q21" s="50">
        <f t="shared" si="19"/>
        <v>792051043</v>
      </c>
      <c r="R21" s="50">
        <f t="shared" si="20"/>
        <v>850056828</v>
      </c>
      <c r="S21" s="50">
        <f t="shared" si="21"/>
        <v>0</v>
      </c>
      <c r="T21" s="50">
        <f t="shared" si="22"/>
        <v>58005785</v>
      </c>
      <c r="U21" s="50">
        <f t="shared" si="23"/>
        <v>58005785</v>
      </c>
      <c r="V21" s="50">
        <f t="shared" si="24"/>
        <v>0</v>
      </c>
      <c r="W21" s="58"/>
      <c r="X21" s="52"/>
      <c r="Z21" s="54"/>
    </row>
    <row r="22" spans="1:26" s="53" customFormat="1" ht="41.25" customHeight="1">
      <c r="A22" s="55">
        <f t="shared" si="16"/>
        <v>14</v>
      </c>
      <c r="B22" s="83" t="s">
        <v>107</v>
      </c>
      <c r="C22" s="56" t="s">
        <v>94</v>
      </c>
      <c r="D22" s="56" t="s">
        <v>94</v>
      </c>
      <c r="E22" s="57">
        <v>10215031</v>
      </c>
      <c r="F22" s="50">
        <v>0</v>
      </c>
      <c r="G22" s="50">
        <f t="shared" si="0"/>
        <v>10215031</v>
      </c>
      <c r="H22" s="50">
        <v>0</v>
      </c>
      <c r="I22" s="50">
        <v>0</v>
      </c>
      <c r="J22" s="50">
        <v>0</v>
      </c>
      <c r="K22" s="50">
        <f t="shared" si="17"/>
        <v>10215031</v>
      </c>
      <c r="L22" s="50">
        <v>0</v>
      </c>
      <c r="M22" s="50">
        <v>0</v>
      </c>
      <c r="N22" s="50">
        <v>0</v>
      </c>
      <c r="O22" s="50">
        <v>0</v>
      </c>
      <c r="P22" s="50">
        <f t="shared" si="18"/>
        <v>0</v>
      </c>
      <c r="Q22" s="50">
        <f t="shared" si="19"/>
        <v>10215031</v>
      </c>
      <c r="R22" s="50">
        <f t="shared" si="20"/>
        <v>10215031</v>
      </c>
      <c r="S22" s="50">
        <f t="shared" si="21"/>
        <v>0</v>
      </c>
      <c r="T22" s="50">
        <f t="shared" si="22"/>
        <v>0</v>
      </c>
      <c r="U22" s="50">
        <f t="shared" si="23"/>
        <v>0</v>
      </c>
      <c r="V22" s="50">
        <f t="shared" si="24"/>
        <v>0</v>
      </c>
      <c r="W22" s="58"/>
      <c r="X22" s="52"/>
      <c r="Z22" s="54"/>
    </row>
    <row r="23" spans="1:26" s="53" customFormat="1" ht="41.25" customHeight="1">
      <c r="A23" s="55">
        <f t="shared" si="16"/>
        <v>15</v>
      </c>
      <c r="B23" s="83" t="s">
        <v>108</v>
      </c>
      <c r="C23" s="56" t="s">
        <v>94</v>
      </c>
      <c r="D23" s="56" t="s">
        <v>94</v>
      </c>
      <c r="E23" s="57">
        <v>101696528</v>
      </c>
      <c r="F23" s="50">
        <v>0</v>
      </c>
      <c r="G23" s="50">
        <f t="shared" si="0"/>
        <v>101696528</v>
      </c>
      <c r="H23" s="50">
        <v>0</v>
      </c>
      <c r="I23" s="50">
        <v>0</v>
      </c>
      <c r="J23" s="50">
        <v>0</v>
      </c>
      <c r="K23" s="50">
        <f t="shared" si="17"/>
        <v>101696528</v>
      </c>
      <c r="L23" s="50">
        <v>0</v>
      </c>
      <c r="M23" s="50">
        <v>10169653</v>
      </c>
      <c r="N23" s="50">
        <v>0</v>
      </c>
      <c r="O23" s="50">
        <v>0</v>
      </c>
      <c r="P23" s="50">
        <f t="shared" si="18"/>
        <v>10169653</v>
      </c>
      <c r="Q23" s="50">
        <f t="shared" si="19"/>
        <v>91526875</v>
      </c>
      <c r="R23" s="50">
        <f t="shared" si="20"/>
        <v>101696528</v>
      </c>
      <c r="S23" s="50">
        <f t="shared" si="21"/>
        <v>0</v>
      </c>
      <c r="T23" s="50">
        <f t="shared" si="22"/>
        <v>10169653</v>
      </c>
      <c r="U23" s="50">
        <f t="shared" si="23"/>
        <v>10169653</v>
      </c>
      <c r="V23" s="50">
        <f t="shared" si="24"/>
        <v>0</v>
      </c>
      <c r="W23" s="58"/>
      <c r="X23" s="52"/>
      <c r="Z23" s="54"/>
    </row>
    <row r="24" spans="1:26" s="53" customFormat="1" ht="41.25" customHeight="1">
      <c r="A24" s="55">
        <f t="shared" si="16"/>
        <v>16</v>
      </c>
      <c r="B24" s="83" t="s">
        <v>109</v>
      </c>
      <c r="C24" s="56" t="s">
        <v>94</v>
      </c>
      <c r="D24" s="56" t="s">
        <v>94</v>
      </c>
      <c r="E24" s="57">
        <f>40720800+451977778</f>
        <v>492698578</v>
      </c>
      <c r="F24" s="50">
        <v>0</v>
      </c>
      <c r="G24" s="50">
        <f t="shared" si="0"/>
        <v>492698578</v>
      </c>
      <c r="H24" s="50">
        <v>0</v>
      </c>
      <c r="I24" s="50">
        <v>0</v>
      </c>
      <c r="J24" s="50">
        <v>0</v>
      </c>
      <c r="K24" s="50">
        <f t="shared" si="17"/>
        <v>492698578</v>
      </c>
      <c r="L24" s="50">
        <v>0</v>
      </c>
      <c r="M24" s="50">
        <v>4977778</v>
      </c>
      <c r="N24" s="50">
        <v>0</v>
      </c>
      <c r="O24" s="50">
        <v>0</v>
      </c>
      <c r="P24" s="50">
        <f t="shared" si="18"/>
        <v>4977778</v>
      </c>
      <c r="Q24" s="50">
        <f t="shared" si="19"/>
        <v>487720800</v>
      </c>
      <c r="R24" s="50">
        <f t="shared" si="20"/>
        <v>492698578</v>
      </c>
      <c r="S24" s="50">
        <f t="shared" si="21"/>
        <v>0</v>
      </c>
      <c r="T24" s="50">
        <f t="shared" si="22"/>
        <v>4977778</v>
      </c>
      <c r="U24" s="50">
        <f t="shared" si="23"/>
        <v>4977778</v>
      </c>
      <c r="V24" s="50">
        <f t="shared" si="24"/>
        <v>0</v>
      </c>
      <c r="W24" s="58"/>
      <c r="X24" s="52"/>
      <c r="Z24" s="54"/>
    </row>
    <row r="25" spans="1:26" s="53" customFormat="1" ht="41.25" customHeight="1">
      <c r="A25" s="55">
        <f t="shared" si="16"/>
        <v>17</v>
      </c>
      <c r="B25" s="83" t="s">
        <v>110</v>
      </c>
      <c r="C25" s="56" t="s">
        <v>94</v>
      </c>
      <c r="D25" s="56" t="s">
        <v>94</v>
      </c>
      <c r="E25" s="57">
        <v>20951007355</v>
      </c>
      <c r="F25" s="50">
        <v>0</v>
      </c>
      <c r="G25" s="50">
        <f t="shared" si="0"/>
        <v>20951007355</v>
      </c>
      <c r="H25" s="50">
        <v>0</v>
      </c>
      <c r="I25" s="50">
        <v>0</v>
      </c>
      <c r="J25" s="50">
        <v>0</v>
      </c>
      <c r="K25" s="50">
        <f t="shared" si="17"/>
        <v>20951007355</v>
      </c>
      <c r="L25" s="50">
        <v>0</v>
      </c>
      <c r="M25" s="50">
        <v>1437978729</v>
      </c>
      <c r="N25" s="50">
        <v>0</v>
      </c>
      <c r="O25" s="50">
        <v>0</v>
      </c>
      <c r="P25" s="50">
        <f t="shared" si="18"/>
        <v>1437978729</v>
      </c>
      <c r="Q25" s="50">
        <f t="shared" si="19"/>
        <v>19513028626</v>
      </c>
      <c r="R25" s="50">
        <f t="shared" si="20"/>
        <v>20951007355</v>
      </c>
      <c r="S25" s="50">
        <f t="shared" si="21"/>
        <v>0</v>
      </c>
      <c r="T25" s="50">
        <f t="shared" si="22"/>
        <v>1437978729</v>
      </c>
      <c r="U25" s="50">
        <f t="shared" si="23"/>
        <v>1437978729</v>
      </c>
      <c r="V25" s="50">
        <f t="shared" si="24"/>
        <v>0</v>
      </c>
      <c r="W25" s="58"/>
      <c r="X25" s="52"/>
      <c r="Z25" s="54"/>
    </row>
    <row r="26" spans="1:26" s="65" customFormat="1" ht="42.75" customHeight="1">
      <c r="A26" s="59"/>
      <c r="B26" s="60" t="s">
        <v>12</v>
      </c>
      <c r="C26" s="61"/>
      <c r="D26" s="62"/>
      <c r="E26" s="62">
        <f t="shared" ref="E26:V26" si="25">SUM(E9:E25)</f>
        <v>439349394728</v>
      </c>
      <c r="F26" s="62">
        <f t="shared" si="25"/>
        <v>0</v>
      </c>
      <c r="G26" s="62">
        <f t="shared" si="25"/>
        <v>439349394728</v>
      </c>
      <c r="H26" s="62">
        <f t="shared" si="25"/>
        <v>5647286876</v>
      </c>
      <c r="I26" s="62">
        <f t="shared" si="25"/>
        <v>7848245224</v>
      </c>
      <c r="J26" s="62">
        <f t="shared" si="25"/>
        <v>2785684373</v>
      </c>
      <c r="K26" s="62">
        <f t="shared" si="25"/>
        <v>455630611201</v>
      </c>
      <c r="L26" s="62">
        <f t="shared" si="25"/>
        <v>7450275085</v>
      </c>
      <c r="M26" s="62">
        <f t="shared" si="25"/>
        <v>38150369603</v>
      </c>
      <c r="N26" s="62">
        <f t="shared" si="25"/>
        <v>252467868</v>
      </c>
      <c r="O26" s="62">
        <f t="shared" si="25"/>
        <v>0</v>
      </c>
      <c r="P26" s="62">
        <f t="shared" si="25"/>
        <v>38402837471</v>
      </c>
      <c r="Q26" s="62">
        <f t="shared" si="25"/>
        <v>409777498645</v>
      </c>
      <c r="R26" s="62">
        <f t="shared" si="25"/>
        <v>444996681604</v>
      </c>
      <c r="S26" s="62">
        <f t="shared" si="25"/>
        <v>10633929597</v>
      </c>
      <c r="T26" s="62">
        <f t="shared" si="25"/>
        <v>38402837471</v>
      </c>
      <c r="U26" s="62">
        <f t="shared" si="25"/>
        <v>38402837471</v>
      </c>
      <c r="V26" s="62">
        <f t="shared" si="25"/>
        <v>0</v>
      </c>
      <c r="W26" s="63"/>
      <c r="X26" s="64"/>
    </row>
    <row r="27" spans="1:26" ht="21" customHeight="1">
      <c r="A27" s="66"/>
      <c r="B27" s="67"/>
      <c r="C27" s="68"/>
      <c r="D27" s="69"/>
      <c r="E27" s="70"/>
      <c r="F27" s="69"/>
      <c r="G27" s="70"/>
      <c r="H27" s="69"/>
      <c r="I27" s="69"/>
      <c r="J27" s="69"/>
      <c r="K27" s="70"/>
      <c r="L27" s="70"/>
      <c r="M27" s="69"/>
      <c r="N27" s="70"/>
      <c r="O27" s="69"/>
      <c r="P27" s="70"/>
      <c r="Q27" s="71"/>
      <c r="R27" s="71"/>
      <c r="S27" s="71"/>
      <c r="T27" s="70"/>
      <c r="U27" s="70"/>
      <c r="V27" s="70"/>
      <c r="W27" s="69"/>
    </row>
    <row r="28" spans="1:26" s="76" customFormat="1" ht="31.2">
      <c r="A28" s="74"/>
      <c r="B28" s="75"/>
      <c r="C28" s="86" t="s">
        <v>56</v>
      </c>
      <c r="D28" s="86"/>
      <c r="E28" s="86"/>
      <c r="F28" s="86"/>
      <c r="G28" s="86"/>
      <c r="I28" s="69"/>
      <c r="K28" s="77"/>
      <c r="M28" s="77"/>
      <c r="N28" s="26"/>
      <c r="O28" s="78"/>
      <c r="P28" s="86" t="s">
        <v>1</v>
      </c>
      <c r="Q28" s="86"/>
      <c r="R28" s="86"/>
      <c r="S28" s="86"/>
      <c r="T28" s="86"/>
      <c r="U28" s="86"/>
      <c r="V28" s="86"/>
      <c r="X28" s="79"/>
    </row>
    <row r="29" spans="1:26">
      <c r="T29" s="82"/>
    </row>
  </sheetData>
  <autoFilter ref="A8:X28" xr:uid="{00000000-0009-0000-0000-000002000000}"/>
  <mergeCells count="22">
    <mergeCell ref="C28:G28"/>
    <mergeCell ref="P28:V28"/>
    <mergeCell ref="T5:T7"/>
    <mergeCell ref="U5:U7"/>
    <mergeCell ref="V5:V7"/>
    <mergeCell ref="W5:W7"/>
    <mergeCell ref="X5:X7"/>
    <mergeCell ref="E6:K6"/>
    <mergeCell ref="L6:P6"/>
    <mergeCell ref="Q6:Q7"/>
    <mergeCell ref="R6:R7"/>
    <mergeCell ref="S6:S7"/>
    <mergeCell ref="A1:F1"/>
    <mergeCell ref="P1:W1"/>
    <mergeCell ref="A2:F2"/>
    <mergeCell ref="P2:W2"/>
    <mergeCell ref="A3:W3"/>
    <mergeCell ref="A5:A8"/>
    <mergeCell ref="B5:B8"/>
    <mergeCell ref="C5:C8"/>
    <mergeCell ref="D5:D8"/>
    <mergeCell ref="E5:S5"/>
  </mergeCells>
  <pageMargins left="0.31" right="0" top="0.6" bottom="0.74803149606299202" header="0.31496062992126" footer="0.31496062992126"/>
  <pageSetup paperSize="9" scale="2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26"/>
  <sheetViews>
    <sheetView zoomScale="70" zoomScaleNormal="70" zoomScaleSheetLayoutView="55" workbookViewId="0">
      <pane xSplit="4" ySplit="8" topLeftCell="E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ColWidth="9.109375" defaultRowHeight="13.8"/>
  <cols>
    <col min="1" max="1" width="7" style="80" customWidth="1"/>
    <col min="2" max="2" width="47" style="81" customWidth="1"/>
    <col min="3" max="4" width="10.33203125" style="73" customWidth="1"/>
    <col min="5" max="5" width="22.109375" style="73" customWidth="1"/>
    <col min="6" max="6" width="20.5546875" style="73" customWidth="1"/>
    <col min="7" max="7" width="25.88671875" style="73" customWidth="1"/>
    <col min="8" max="8" width="20.109375" style="73" customWidth="1"/>
    <col min="9" max="9" width="20" style="73" customWidth="1"/>
    <col min="10" max="10" width="19.44140625" style="73" customWidth="1"/>
    <col min="11" max="11" width="21.6640625" style="82" customWidth="1"/>
    <col min="12" max="12" width="19.109375" style="73" customWidth="1"/>
    <col min="13" max="13" width="22.88671875" style="73" customWidth="1"/>
    <col min="14" max="14" width="20.44140625" style="73" customWidth="1"/>
    <col min="15" max="15" width="19.5546875" style="73" customWidth="1"/>
    <col min="16" max="16" width="18.5546875" style="73" customWidth="1"/>
    <col min="17" max="17" width="21.109375" style="73" customWidth="1"/>
    <col min="18" max="18" width="21.6640625" style="73" customWidth="1"/>
    <col min="19" max="19" width="19.33203125" style="73" customWidth="1"/>
    <col min="20" max="20" width="19.44140625" style="73" customWidth="1"/>
    <col min="21" max="21" width="23.33203125" style="73" customWidth="1"/>
    <col min="22" max="22" width="20.33203125" style="73" customWidth="1"/>
    <col min="23" max="23" width="26.44140625" style="73" customWidth="1"/>
    <col min="24" max="24" width="27" style="72" customWidth="1"/>
    <col min="25" max="25" width="20.6640625" style="73" customWidth="1"/>
    <col min="26" max="26" width="17.88671875" style="73" customWidth="1"/>
    <col min="27" max="27" width="12.88671875" style="73" bestFit="1" customWidth="1"/>
    <col min="28" max="16384" width="9.109375" style="73"/>
  </cols>
  <sheetData>
    <row r="1" spans="1:26" s="35" customFormat="1" ht="25.5" customHeight="1">
      <c r="A1" s="90" t="s">
        <v>0</v>
      </c>
      <c r="B1" s="90"/>
      <c r="C1" s="90"/>
      <c r="D1" s="90"/>
      <c r="E1" s="90"/>
      <c r="F1" s="90"/>
      <c r="G1" s="33"/>
      <c r="H1" s="33"/>
      <c r="I1" s="33"/>
      <c r="J1" s="33"/>
      <c r="K1" s="33"/>
      <c r="P1" s="91" t="s">
        <v>53</v>
      </c>
      <c r="Q1" s="91"/>
      <c r="R1" s="91"/>
      <c r="S1" s="91"/>
      <c r="T1" s="91"/>
      <c r="U1" s="91"/>
      <c r="V1" s="91"/>
      <c r="W1" s="91"/>
      <c r="X1" s="36"/>
    </row>
    <row r="2" spans="1:26" s="35" customFormat="1" ht="25.5" customHeight="1">
      <c r="A2" s="91" t="s">
        <v>77</v>
      </c>
      <c r="B2" s="91"/>
      <c r="C2" s="91"/>
      <c r="D2" s="91"/>
      <c r="E2" s="91"/>
      <c r="F2" s="91"/>
      <c r="G2" s="33"/>
      <c r="H2" s="33"/>
      <c r="I2" s="33"/>
      <c r="J2" s="33"/>
      <c r="K2" s="33"/>
      <c r="M2" s="33"/>
      <c r="N2" s="33"/>
      <c r="O2" s="33"/>
      <c r="P2" s="92" t="s">
        <v>54</v>
      </c>
      <c r="Q2" s="91"/>
      <c r="R2" s="91"/>
      <c r="S2" s="91"/>
      <c r="T2" s="91"/>
      <c r="U2" s="91"/>
      <c r="V2" s="91"/>
      <c r="W2" s="91"/>
      <c r="X2" s="36"/>
    </row>
    <row r="3" spans="1:26" s="38" customFormat="1" ht="36" customHeight="1">
      <c r="A3" s="93" t="s">
        <v>78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37"/>
    </row>
    <row r="4" spans="1:26" s="38" customFormat="1" ht="26.25" customHeight="1">
      <c r="A4" s="29"/>
      <c r="B4" s="34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9"/>
      <c r="Q4" s="29"/>
      <c r="R4" s="29"/>
      <c r="S4" s="29"/>
      <c r="T4" s="29"/>
      <c r="U4" s="29"/>
      <c r="V4" s="29"/>
      <c r="W4" s="29"/>
      <c r="X4" s="37"/>
    </row>
    <row r="5" spans="1:26" s="40" customFormat="1" ht="26.25" customHeight="1">
      <c r="A5" s="94" t="s">
        <v>2</v>
      </c>
      <c r="B5" s="95" t="s">
        <v>3</v>
      </c>
      <c r="C5" s="94" t="s">
        <v>4</v>
      </c>
      <c r="D5" s="94" t="s">
        <v>5</v>
      </c>
      <c r="E5" s="88" t="s">
        <v>13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7" t="s">
        <v>14</v>
      </c>
      <c r="U5" s="88" t="s">
        <v>15</v>
      </c>
      <c r="V5" s="88" t="s">
        <v>16</v>
      </c>
      <c r="W5" s="88" t="s">
        <v>17</v>
      </c>
      <c r="X5" s="89"/>
    </row>
    <row r="6" spans="1:26" s="38" customFormat="1" ht="28.5" customHeight="1">
      <c r="A6" s="94"/>
      <c r="B6" s="95"/>
      <c r="C6" s="94"/>
      <c r="D6" s="94"/>
      <c r="E6" s="88" t="s">
        <v>18</v>
      </c>
      <c r="F6" s="88"/>
      <c r="G6" s="88"/>
      <c r="H6" s="88"/>
      <c r="I6" s="88"/>
      <c r="J6" s="88"/>
      <c r="K6" s="88"/>
      <c r="L6" s="88" t="s">
        <v>19</v>
      </c>
      <c r="M6" s="88"/>
      <c r="N6" s="88"/>
      <c r="O6" s="88"/>
      <c r="P6" s="88"/>
      <c r="Q6" s="88" t="s">
        <v>20</v>
      </c>
      <c r="R6" s="88" t="s">
        <v>21</v>
      </c>
      <c r="S6" s="88" t="s">
        <v>22</v>
      </c>
      <c r="T6" s="87"/>
      <c r="U6" s="88"/>
      <c r="V6" s="88"/>
      <c r="W6" s="88"/>
      <c r="X6" s="89"/>
    </row>
    <row r="7" spans="1:26" s="40" customFormat="1" ht="50.25" customHeight="1">
      <c r="A7" s="94"/>
      <c r="B7" s="95"/>
      <c r="C7" s="94"/>
      <c r="D7" s="94"/>
      <c r="E7" s="41" t="s">
        <v>23</v>
      </c>
      <c r="F7" s="41" t="s">
        <v>24</v>
      </c>
      <c r="G7" s="41" t="s">
        <v>25</v>
      </c>
      <c r="H7" s="42" t="s">
        <v>55</v>
      </c>
      <c r="I7" s="42" t="s">
        <v>26</v>
      </c>
      <c r="J7" s="42" t="s">
        <v>27</v>
      </c>
      <c r="K7" s="43" t="s">
        <v>28</v>
      </c>
      <c r="L7" s="41" t="s">
        <v>29</v>
      </c>
      <c r="M7" s="41" t="s">
        <v>30</v>
      </c>
      <c r="N7" s="41" t="s">
        <v>31</v>
      </c>
      <c r="O7" s="41" t="s">
        <v>32</v>
      </c>
      <c r="P7" s="41" t="s">
        <v>33</v>
      </c>
      <c r="Q7" s="88"/>
      <c r="R7" s="88"/>
      <c r="S7" s="88"/>
      <c r="T7" s="87"/>
      <c r="U7" s="88"/>
      <c r="V7" s="88"/>
      <c r="W7" s="88"/>
      <c r="X7" s="89"/>
    </row>
    <row r="8" spans="1:26" s="38" customFormat="1" ht="24" customHeight="1">
      <c r="A8" s="94"/>
      <c r="B8" s="95"/>
      <c r="C8" s="94"/>
      <c r="D8" s="94"/>
      <c r="E8" s="44" t="s">
        <v>34</v>
      </c>
      <c r="F8" s="44" t="s">
        <v>35</v>
      </c>
      <c r="G8" s="44" t="s">
        <v>36</v>
      </c>
      <c r="H8" s="44" t="s">
        <v>37</v>
      </c>
      <c r="I8" s="44" t="s">
        <v>38</v>
      </c>
      <c r="J8" s="44" t="s">
        <v>39</v>
      </c>
      <c r="K8" s="45" t="s">
        <v>40</v>
      </c>
      <c r="L8" s="44" t="s">
        <v>41</v>
      </c>
      <c r="M8" s="44" t="s">
        <v>42</v>
      </c>
      <c r="N8" s="44" t="s">
        <v>43</v>
      </c>
      <c r="O8" s="44" t="s">
        <v>44</v>
      </c>
      <c r="P8" s="44" t="s">
        <v>45</v>
      </c>
      <c r="Q8" s="44" t="s">
        <v>46</v>
      </c>
      <c r="R8" s="44" t="s">
        <v>47</v>
      </c>
      <c r="S8" s="44" t="s">
        <v>48</v>
      </c>
      <c r="T8" s="44" t="s">
        <v>49</v>
      </c>
      <c r="U8" s="44" t="s">
        <v>50</v>
      </c>
      <c r="V8" s="44" t="s">
        <v>51</v>
      </c>
      <c r="W8" s="44" t="s">
        <v>52</v>
      </c>
      <c r="X8" s="46"/>
    </row>
    <row r="9" spans="1:26" s="53" customFormat="1" ht="41.25" customHeight="1">
      <c r="A9" s="47">
        <v>1</v>
      </c>
      <c r="B9" s="83" t="s">
        <v>79</v>
      </c>
      <c r="C9" s="49" t="s">
        <v>75</v>
      </c>
      <c r="D9" s="49" t="s">
        <v>76</v>
      </c>
      <c r="E9" s="50">
        <v>1162945615</v>
      </c>
      <c r="F9" s="50">
        <v>0</v>
      </c>
      <c r="G9" s="50">
        <f t="shared" ref="G9:G18" si="0">E9+F9</f>
        <v>1162945615</v>
      </c>
      <c r="H9" s="50">
        <v>0</v>
      </c>
      <c r="I9" s="50">
        <v>0</v>
      </c>
      <c r="J9" s="50">
        <v>0</v>
      </c>
      <c r="K9" s="50">
        <f t="shared" ref="K9:K18" si="1">G9+H9+I9+J9</f>
        <v>1162945615</v>
      </c>
      <c r="L9" s="50">
        <v>24913980</v>
      </c>
      <c r="M9" s="50">
        <v>178483364</v>
      </c>
      <c r="N9" s="50">
        <v>0</v>
      </c>
      <c r="O9" s="50">
        <v>0</v>
      </c>
      <c r="P9" s="50">
        <f t="shared" ref="P9" si="2">M9+N9+O9</f>
        <v>178483364</v>
      </c>
      <c r="Q9" s="50">
        <f t="shared" ref="Q9" si="3">K9-L9-P9</f>
        <v>959548271</v>
      </c>
      <c r="R9" s="50">
        <f t="shared" ref="R9" si="4">E9+H9</f>
        <v>1162945615</v>
      </c>
      <c r="S9" s="50">
        <f t="shared" ref="S9" si="5">F9+I9+J9</f>
        <v>0</v>
      </c>
      <c r="T9" s="50">
        <f t="shared" ref="T9" si="6">P9</f>
        <v>178483364</v>
      </c>
      <c r="U9" s="50">
        <f t="shared" ref="U9" si="7">M9+N9</f>
        <v>178483364</v>
      </c>
      <c r="V9" s="50">
        <f t="shared" ref="V9" si="8">T9-U9</f>
        <v>0</v>
      </c>
      <c r="W9" s="51"/>
      <c r="X9" s="52"/>
      <c r="Z9" s="54"/>
    </row>
    <row r="10" spans="1:26" s="53" customFormat="1" ht="41.25" customHeight="1">
      <c r="A10" s="55">
        <f>A9+1</f>
        <v>2</v>
      </c>
      <c r="B10" s="83" t="s">
        <v>80</v>
      </c>
      <c r="C10" s="49" t="s">
        <v>75</v>
      </c>
      <c r="D10" s="49" t="s">
        <v>76</v>
      </c>
      <c r="E10" s="50">
        <v>16478756305</v>
      </c>
      <c r="F10" s="50">
        <v>0</v>
      </c>
      <c r="G10" s="50">
        <f t="shared" si="0"/>
        <v>16478756305</v>
      </c>
      <c r="H10" s="50">
        <v>66648410</v>
      </c>
      <c r="I10" s="50">
        <v>545235336</v>
      </c>
      <c r="J10" s="50">
        <v>183522729</v>
      </c>
      <c r="K10" s="50">
        <f t="shared" si="1"/>
        <v>17274162780</v>
      </c>
      <c r="L10" s="50">
        <v>578237381</v>
      </c>
      <c r="M10" s="50">
        <v>2483714388</v>
      </c>
      <c r="N10" s="50">
        <v>0</v>
      </c>
      <c r="O10" s="50">
        <v>0</v>
      </c>
      <c r="P10" s="50">
        <f t="shared" ref="P10:P18" si="9">M10+N10+O10</f>
        <v>2483714388</v>
      </c>
      <c r="Q10" s="50">
        <f t="shared" ref="Q10:Q18" si="10">K10-L10-P10</f>
        <v>14212211011</v>
      </c>
      <c r="R10" s="50">
        <f t="shared" ref="R10:R18" si="11">E10+H10</f>
        <v>16545404715</v>
      </c>
      <c r="S10" s="50">
        <f t="shared" ref="S10:S18" si="12">F10+I10+J10</f>
        <v>728758065</v>
      </c>
      <c r="T10" s="50">
        <f t="shared" ref="T10:T18" si="13">P10</f>
        <v>2483714388</v>
      </c>
      <c r="U10" s="50">
        <f t="shared" ref="U10:U18" si="14">M10+N10</f>
        <v>2483714388</v>
      </c>
      <c r="V10" s="50">
        <f t="shared" ref="V10:V18" si="15">T10-U10</f>
        <v>0</v>
      </c>
      <c r="W10" s="51"/>
      <c r="X10" s="52"/>
      <c r="Z10" s="54"/>
    </row>
    <row r="11" spans="1:26" s="53" customFormat="1" ht="41.25" customHeight="1">
      <c r="A11" s="55">
        <f t="shared" ref="A11:A22" si="16">A10+1</f>
        <v>3</v>
      </c>
      <c r="B11" s="83" t="s">
        <v>81</v>
      </c>
      <c r="C11" s="49" t="s">
        <v>75</v>
      </c>
      <c r="D11" s="49" t="s">
        <v>76</v>
      </c>
      <c r="E11" s="50">
        <v>156404114104</v>
      </c>
      <c r="F11" s="50">
        <v>0</v>
      </c>
      <c r="G11" s="50">
        <f t="shared" si="0"/>
        <v>156404114104</v>
      </c>
      <c r="H11" s="50">
        <v>5649089433</v>
      </c>
      <c r="I11" s="50">
        <v>7339967506</v>
      </c>
      <c r="J11" s="50">
        <v>2613702278</v>
      </c>
      <c r="K11" s="50">
        <f t="shared" si="1"/>
        <v>172006873321</v>
      </c>
      <c r="L11" s="50">
        <v>6853793760</v>
      </c>
      <c r="M11" s="50">
        <v>23102308784</v>
      </c>
      <c r="N11" s="50">
        <v>0</v>
      </c>
      <c r="O11" s="50">
        <v>0</v>
      </c>
      <c r="P11" s="50">
        <f t="shared" si="9"/>
        <v>23102308784</v>
      </c>
      <c r="Q11" s="50">
        <f t="shared" si="10"/>
        <v>142050770777</v>
      </c>
      <c r="R11" s="50">
        <f t="shared" si="11"/>
        <v>162053203537</v>
      </c>
      <c r="S11" s="50">
        <f t="shared" si="12"/>
        <v>9953669784</v>
      </c>
      <c r="T11" s="50">
        <f t="shared" si="13"/>
        <v>23102308784</v>
      </c>
      <c r="U11" s="50">
        <f t="shared" si="14"/>
        <v>23102308784</v>
      </c>
      <c r="V11" s="50">
        <f t="shared" si="15"/>
        <v>0</v>
      </c>
      <c r="W11" s="51"/>
      <c r="X11" s="52"/>
      <c r="Z11" s="54"/>
    </row>
    <row r="12" spans="1:26" s="53" customFormat="1" ht="38.25" customHeight="1">
      <c r="A12" s="55">
        <f t="shared" si="16"/>
        <v>4</v>
      </c>
      <c r="B12" s="48" t="s">
        <v>82</v>
      </c>
      <c r="C12" s="49" t="s">
        <v>74</v>
      </c>
      <c r="D12" s="49" t="s">
        <v>76</v>
      </c>
      <c r="E12" s="50">
        <v>3566700833</v>
      </c>
      <c r="F12" s="50">
        <v>0</v>
      </c>
      <c r="G12" s="50">
        <f t="shared" si="0"/>
        <v>3566700833</v>
      </c>
      <c r="H12" s="50">
        <v>0</v>
      </c>
      <c r="I12" s="50">
        <v>0</v>
      </c>
      <c r="J12" s="50">
        <v>0</v>
      </c>
      <c r="K12" s="50">
        <f t="shared" si="1"/>
        <v>3566700833</v>
      </c>
      <c r="L12" s="50">
        <v>0</v>
      </c>
      <c r="M12" s="50">
        <v>15258333</v>
      </c>
      <c r="N12" s="50">
        <v>0</v>
      </c>
      <c r="O12" s="50">
        <v>0</v>
      </c>
      <c r="P12" s="50">
        <f t="shared" si="9"/>
        <v>15258333</v>
      </c>
      <c r="Q12" s="50">
        <f t="shared" si="10"/>
        <v>3551442500</v>
      </c>
      <c r="R12" s="50">
        <f t="shared" si="11"/>
        <v>3566700833</v>
      </c>
      <c r="S12" s="50">
        <f t="shared" si="12"/>
        <v>0</v>
      </c>
      <c r="T12" s="50">
        <f t="shared" si="13"/>
        <v>15258333</v>
      </c>
      <c r="U12" s="50">
        <f t="shared" si="14"/>
        <v>15258333</v>
      </c>
      <c r="V12" s="50">
        <f t="shared" si="15"/>
        <v>0</v>
      </c>
      <c r="W12" s="51"/>
      <c r="X12" s="52"/>
      <c r="Z12" s="54"/>
    </row>
    <row r="13" spans="1:26" s="53" customFormat="1" ht="41.25" customHeight="1">
      <c r="A13" s="55">
        <f t="shared" si="16"/>
        <v>5</v>
      </c>
      <c r="B13" s="48" t="s">
        <v>83</v>
      </c>
      <c r="C13" s="56" t="s">
        <v>75</v>
      </c>
      <c r="D13" s="56" t="s">
        <v>76</v>
      </c>
      <c r="E13" s="57">
        <v>3483804704</v>
      </c>
      <c r="F13" s="50">
        <v>0</v>
      </c>
      <c r="G13" s="50">
        <f t="shared" si="0"/>
        <v>3483804704</v>
      </c>
      <c r="H13" s="50">
        <v>0</v>
      </c>
      <c r="I13" s="50">
        <v>0</v>
      </c>
      <c r="J13" s="50">
        <v>0</v>
      </c>
      <c r="K13" s="50">
        <f t="shared" si="1"/>
        <v>3483804704</v>
      </c>
      <c r="L13" s="50">
        <v>0</v>
      </c>
      <c r="M13" s="50">
        <v>15048333</v>
      </c>
      <c r="N13" s="50">
        <v>0</v>
      </c>
      <c r="O13" s="50">
        <v>0</v>
      </c>
      <c r="P13" s="50">
        <f t="shared" si="9"/>
        <v>15048333</v>
      </c>
      <c r="Q13" s="50">
        <f t="shared" si="10"/>
        <v>3468756371</v>
      </c>
      <c r="R13" s="50">
        <f t="shared" si="11"/>
        <v>3483804704</v>
      </c>
      <c r="S13" s="50">
        <f t="shared" si="12"/>
        <v>0</v>
      </c>
      <c r="T13" s="50">
        <f t="shared" si="13"/>
        <v>15048333</v>
      </c>
      <c r="U13" s="50">
        <f t="shared" si="14"/>
        <v>15048333</v>
      </c>
      <c r="V13" s="50">
        <f t="shared" si="15"/>
        <v>0</v>
      </c>
      <c r="W13" s="51"/>
      <c r="X13" s="52"/>
      <c r="Z13" s="54"/>
    </row>
    <row r="14" spans="1:26" s="53" customFormat="1" ht="41.25" customHeight="1">
      <c r="A14" s="55">
        <f t="shared" si="16"/>
        <v>6</v>
      </c>
      <c r="B14" s="83" t="s">
        <v>84</v>
      </c>
      <c r="C14" s="56" t="s">
        <v>74</v>
      </c>
      <c r="D14" s="56" t="s">
        <v>76</v>
      </c>
      <c r="E14" s="57">
        <v>591664282</v>
      </c>
      <c r="F14" s="50">
        <v>0</v>
      </c>
      <c r="G14" s="50">
        <f t="shared" si="0"/>
        <v>591664282</v>
      </c>
      <c r="H14" s="50">
        <v>0</v>
      </c>
      <c r="I14" s="50">
        <v>0</v>
      </c>
      <c r="J14" s="50">
        <v>0</v>
      </c>
      <c r="K14" s="50">
        <f t="shared" si="1"/>
        <v>591664282</v>
      </c>
      <c r="L14" s="50">
        <v>0</v>
      </c>
      <c r="M14" s="50">
        <v>6654667</v>
      </c>
      <c r="N14" s="50">
        <v>0</v>
      </c>
      <c r="O14" s="50">
        <v>0</v>
      </c>
      <c r="P14" s="50">
        <f t="shared" si="9"/>
        <v>6654667</v>
      </c>
      <c r="Q14" s="50">
        <f t="shared" si="10"/>
        <v>585009615</v>
      </c>
      <c r="R14" s="50">
        <f t="shared" si="11"/>
        <v>591664282</v>
      </c>
      <c r="S14" s="50">
        <f t="shared" si="12"/>
        <v>0</v>
      </c>
      <c r="T14" s="50">
        <f t="shared" si="13"/>
        <v>6654667</v>
      </c>
      <c r="U14" s="50">
        <f t="shared" si="14"/>
        <v>6654667</v>
      </c>
      <c r="V14" s="50">
        <f t="shared" si="15"/>
        <v>0</v>
      </c>
      <c r="W14" s="51"/>
      <c r="X14" s="52"/>
      <c r="Z14" s="54"/>
    </row>
    <row r="15" spans="1:26" s="53" customFormat="1" ht="41.25" customHeight="1">
      <c r="A15" s="55">
        <f t="shared" si="16"/>
        <v>7</v>
      </c>
      <c r="B15" s="83" t="s">
        <v>85</v>
      </c>
      <c r="C15" s="56" t="s">
        <v>76</v>
      </c>
      <c r="D15" s="56" t="s">
        <v>76</v>
      </c>
      <c r="E15" s="57">
        <v>105549020115</v>
      </c>
      <c r="F15" s="50">
        <v>0</v>
      </c>
      <c r="G15" s="50">
        <f t="shared" si="0"/>
        <v>105549020115</v>
      </c>
      <c r="H15" s="50">
        <v>0</v>
      </c>
      <c r="I15" s="50">
        <v>0</v>
      </c>
      <c r="J15" s="50">
        <v>0</v>
      </c>
      <c r="K15" s="50">
        <f t="shared" si="1"/>
        <v>105549020115</v>
      </c>
      <c r="L15" s="50">
        <v>0</v>
      </c>
      <c r="M15" s="50">
        <v>20972359</v>
      </c>
      <c r="N15" s="50">
        <v>0</v>
      </c>
      <c r="O15" s="50">
        <v>0</v>
      </c>
      <c r="P15" s="50">
        <f t="shared" si="9"/>
        <v>20972359</v>
      </c>
      <c r="Q15" s="50">
        <f t="shared" si="10"/>
        <v>105528047756</v>
      </c>
      <c r="R15" s="50">
        <f t="shared" si="11"/>
        <v>105549020115</v>
      </c>
      <c r="S15" s="50">
        <f t="shared" si="12"/>
        <v>0</v>
      </c>
      <c r="T15" s="50">
        <f t="shared" si="13"/>
        <v>20972359</v>
      </c>
      <c r="U15" s="50">
        <f t="shared" si="14"/>
        <v>20972359</v>
      </c>
      <c r="V15" s="50">
        <f t="shared" si="15"/>
        <v>0</v>
      </c>
      <c r="W15" s="51"/>
      <c r="X15" s="52"/>
      <c r="Z15" s="54"/>
    </row>
    <row r="16" spans="1:26" s="53" customFormat="1" ht="41.25" customHeight="1">
      <c r="A16" s="55">
        <f t="shared" si="16"/>
        <v>8</v>
      </c>
      <c r="B16" s="83" t="s">
        <v>86</v>
      </c>
      <c r="C16" s="56" t="s">
        <v>75</v>
      </c>
      <c r="D16" s="56" t="s">
        <v>76</v>
      </c>
      <c r="E16" s="57">
        <v>73232571608</v>
      </c>
      <c r="F16" s="50">
        <v>0</v>
      </c>
      <c r="G16" s="50">
        <f t="shared" si="0"/>
        <v>73232571608</v>
      </c>
      <c r="H16" s="50">
        <v>0</v>
      </c>
      <c r="I16" s="50">
        <v>0</v>
      </c>
      <c r="J16" s="50">
        <v>0</v>
      </c>
      <c r="K16" s="50">
        <f t="shared" si="1"/>
        <v>73232571608</v>
      </c>
      <c r="L16" s="50">
        <v>0</v>
      </c>
      <c r="M16" s="50">
        <v>0</v>
      </c>
      <c r="N16" s="50">
        <v>0</v>
      </c>
      <c r="O16" s="50">
        <v>0</v>
      </c>
      <c r="P16" s="50">
        <f t="shared" si="9"/>
        <v>0</v>
      </c>
      <c r="Q16" s="50">
        <f t="shared" si="10"/>
        <v>73232571608</v>
      </c>
      <c r="R16" s="50">
        <f t="shared" si="11"/>
        <v>73232571608</v>
      </c>
      <c r="S16" s="50">
        <f t="shared" si="12"/>
        <v>0</v>
      </c>
      <c r="T16" s="50">
        <f t="shared" si="13"/>
        <v>0</v>
      </c>
      <c r="U16" s="50">
        <f t="shared" si="14"/>
        <v>0</v>
      </c>
      <c r="V16" s="50">
        <f t="shared" si="15"/>
        <v>0</v>
      </c>
      <c r="W16" s="58"/>
      <c r="X16" s="52"/>
      <c r="Z16" s="54"/>
    </row>
    <row r="17" spans="1:26" s="53" customFormat="1" ht="41.25" customHeight="1">
      <c r="A17" s="55">
        <f t="shared" si="16"/>
        <v>9</v>
      </c>
      <c r="B17" s="83" t="s">
        <v>87</v>
      </c>
      <c r="C17" s="56" t="s">
        <v>76</v>
      </c>
      <c r="D17" s="56" t="s">
        <v>76</v>
      </c>
      <c r="E17" s="57">
        <v>31385387881</v>
      </c>
      <c r="F17" s="50">
        <v>0</v>
      </c>
      <c r="G17" s="50">
        <f t="shared" si="0"/>
        <v>31385387881</v>
      </c>
      <c r="H17" s="50">
        <v>0</v>
      </c>
      <c r="I17" s="50">
        <v>0</v>
      </c>
      <c r="J17" s="50">
        <v>0</v>
      </c>
      <c r="K17" s="50">
        <f t="shared" si="1"/>
        <v>31385387881</v>
      </c>
      <c r="L17" s="50">
        <v>0</v>
      </c>
      <c r="M17" s="50">
        <v>0</v>
      </c>
      <c r="N17" s="50">
        <v>0</v>
      </c>
      <c r="O17" s="50">
        <v>0</v>
      </c>
      <c r="P17" s="50">
        <f t="shared" si="9"/>
        <v>0</v>
      </c>
      <c r="Q17" s="50">
        <f t="shared" si="10"/>
        <v>31385387881</v>
      </c>
      <c r="R17" s="50">
        <f t="shared" si="11"/>
        <v>31385387881</v>
      </c>
      <c r="S17" s="50">
        <f t="shared" si="12"/>
        <v>0</v>
      </c>
      <c r="T17" s="50">
        <f t="shared" si="13"/>
        <v>0</v>
      </c>
      <c r="U17" s="50">
        <f t="shared" si="14"/>
        <v>0</v>
      </c>
      <c r="V17" s="50">
        <f t="shared" si="15"/>
        <v>0</v>
      </c>
      <c r="W17" s="58"/>
      <c r="X17" s="52"/>
      <c r="Z17" s="54"/>
    </row>
    <row r="18" spans="1:26" s="53" customFormat="1" ht="41.25" customHeight="1">
      <c r="A18" s="55">
        <f t="shared" si="16"/>
        <v>10</v>
      </c>
      <c r="B18" s="83" t="s">
        <v>92</v>
      </c>
      <c r="C18" s="56" t="s">
        <v>76</v>
      </c>
      <c r="D18" s="56" t="s">
        <v>76</v>
      </c>
      <c r="E18" s="57">
        <v>993027687</v>
      </c>
      <c r="F18" s="50">
        <v>0</v>
      </c>
      <c r="G18" s="50">
        <f t="shared" si="0"/>
        <v>993027687</v>
      </c>
      <c r="H18" s="50">
        <v>0</v>
      </c>
      <c r="I18" s="50">
        <v>0</v>
      </c>
      <c r="J18" s="50">
        <v>0</v>
      </c>
      <c r="K18" s="50">
        <f t="shared" si="1"/>
        <v>993027687</v>
      </c>
      <c r="L18" s="50">
        <v>0</v>
      </c>
      <c r="M18" s="50">
        <v>54878739</v>
      </c>
      <c r="N18" s="50">
        <v>0</v>
      </c>
      <c r="O18" s="50">
        <v>0</v>
      </c>
      <c r="P18" s="50">
        <f t="shared" si="9"/>
        <v>54878739</v>
      </c>
      <c r="Q18" s="50">
        <f t="shared" si="10"/>
        <v>938148948</v>
      </c>
      <c r="R18" s="50">
        <f t="shared" si="11"/>
        <v>993027687</v>
      </c>
      <c r="S18" s="50">
        <f t="shared" si="12"/>
        <v>0</v>
      </c>
      <c r="T18" s="50">
        <f t="shared" si="13"/>
        <v>54878739</v>
      </c>
      <c r="U18" s="50">
        <f t="shared" si="14"/>
        <v>54878739</v>
      </c>
      <c r="V18" s="50">
        <f t="shared" si="15"/>
        <v>0</v>
      </c>
      <c r="W18" s="58"/>
      <c r="X18" s="52"/>
      <c r="Z18" s="54"/>
    </row>
    <row r="19" spans="1:26" s="53" customFormat="1" ht="41.25" customHeight="1">
      <c r="A19" s="55">
        <f t="shared" si="16"/>
        <v>11</v>
      </c>
      <c r="B19" s="83" t="s">
        <v>88</v>
      </c>
      <c r="C19" s="56" t="s">
        <v>76</v>
      </c>
      <c r="D19" s="56" t="s">
        <v>76</v>
      </c>
      <c r="E19" s="50">
        <v>31445410</v>
      </c>
      <c r="F19" s="50">
        <v>0</v>
      </c>
      <c r="G19" s="50">
        <f t="shared" ref="G19:G22" si="17">E19+F19</f>
        <v>31445410</v>
      </c>
      <c r="H19" s="50">
        <v>0</v>
      </c>
      <c r="I19" s="50">
        <v>0</v>
      </c>
      <c r="J19" s="50">
        <v>0</v>
      </c>
      <c r="K19" s="50">
        <f t="shared" ref="K19:K22" si="18">G19+H19+I19+J19</f>
        <v>31445410</v>
      </c>
      <c r="L19" s="50">
        <v>0</v>
      </c>
      <c r="M19" s="50">
        <v>0</v>
      </c>
      <c r="N19" s="50">
        <v>0</v>
      </c>
      <c r="O19" s="50">
        <v>0</v>
      </c>
      <c r="P19" s="50">
        <f t="shared" ref="P19:P22" si="19">M19+N19+O19</f>
        <v>0</v>
      </c>
      <c r="Q19" s="50">
        <f t="shared" ref="Q19:Q22" si="20">K19-L19-P19</f>
        <v>31445410</v>
      </c>
      <c r="R19" s="50">
        <f t="shared" ref="R19:R22" si="21">E19+H19</f>
        <v>31445410</v>
      </c>
      <c r="S19" s="50">
        <f t="shared" ref="S19:S22" si="22">F19+I19+J19</f>
        <v>0</v>
      </c>
      <c r="T19" s="50">
        <f t="shared" ref="T19:T22" si="23">P19</f>
        <v>0</v>
      </c>
      <c r="U19" s="50">
        <f t="shared" ref="U19:U22" si="24">M19+N19</f>
        <v>0</v>
      </c>
      <c r="V19" s="50">
        <f t="shared" ref="V19:V22" si="25">T19-U19</f>
        <v>0</v>
      </c>
      <c r="W19" s="58"/>
      <c r="X19" s="52"/>
      <c r="Z19" s="54"/>
    </row>
    <row r="20" spans="1:26" s="53" customFormat="1" ht="41.25" customHeight="1">
      <c r="A20" s="55">
        <f t="shared" si="16"/>
        <v>12</v>
      </c>
      <c r="B20" s="83" t="s">
        <v>89</v>
      </c>
      <c r="C20" s="56" t="s">
        <v>76</v>
      </c>
      <c r="D20" s="56" t="s">
        <v>76</v>
      </c>
      <c r="E20" s="50">
        <v>114745832</v>
      </c>
      <c r="F20" s="50">
        <v>0</v>
      </c>
      <c r="G20" s="50">
        <f t="shared" si="17"/>
        <v>114745832</v>
      </c>
      <c r="H20" s="50">
        <v>0</v>
      </c>
      <c r="I20" s="50">
        <v>0</v>
      </c>
      <c r="J20" s="50">
        <v>0</v>
      </c>
      <c r="K20" s="50">
        <f t="shared" si="18"/>
        <v>114745832</v>
      </c>
      <c r="L20" s="50">
        <v>0</v>
      </c>
      <c r="M20" s="50">
        <v>11474583</v>
      </c>
      <c r="N20" s="50">
        <v>0</v>
      </c>
      <c r="O20" s="50">
        <v>0</v>
      </c>
      <c r="P20" s="50">
        <f t="shared" si="19"/>
        <v>11474583</v>
      </c>
      <c r="Q20" s="50">
        <f t="shared" si="20"/>
        <v>103271249</v>
      </c>
      <c r="R20" s="50">
        <f t="shared" si="21"/>
        <v>114745832</v>
      </c>
      <c r="S20" s="50">
        <f t="shared" si="22"/>
        <v>0</v>
      </c>
      <c r="T20" s="50">
        <f t="shared" si="23"/>
        <v>11474583</v>
      </c>
      <c r="U20" s="50">
        <f t="shared" si="24"/>
        <v>11474583</v>
      </c>
      <c r="V20" s="50">
        <f t="shared" si="25"/>
        <v>0</v>
      </c>
      <c r="W20" s="58"/>
      <c r="X20" s="52"/>
      <c r="Z20" s="54"/>
    </row>
    <row r="21" spans="1:26" s="53" customFormat="1" ht="41.25" customHeight="1">
      <c r="A21" s="55">
        <f t="shared" si="16"/>
        <v>13</v>
      </c>
      <c r="B21" s="83" t="s">
        <v>90</v>
      </c>
      <c r="C21" s="56" t="s">
        <v>76</v>
      </c>
      <c r="D21" s="56" t="s">
        <v>76</v>
      </c>
      <c r="E21" s="50">
        <f>61780000+49600000</f>
        <v>111380000</v>
      </c>
      <c r="F21" s="50">
        <v>0</v>
      </c>
      <c r="G21" s="50">
        <f t="shared" si="17"/>
        <v>111380000</v>
      </c>
      <c r="H21" s="50">
        <v>0</v>
      </c>
      <c r="I21" s="50">
        <v>0</v>
      </c>
      <c r="J21" s="50">
        <v>0</v>
      </c>
      <c r="K21" s="50">
        <f t="shared" si="18"/>
        <v>111380000</v>
      </c>
      <c r="L21" s="50">
        <v>0</v>
      </c>
      <c r="M21" s="50">
        <v>4900000</v>
      </c>
      <c r="N21" s="50">
        <v>0</v>
      </c>
      <c r="O21" s="50">
        <v>0</v>
      </c>
      <c r="P21" s="50">
        <f t="shared" si="19"/>
        <v>4900000</v>
      </c>
      <c r="Q21" s="50">
        <f t="shared" si="20"/>
        <v>106480000</v>
      </c>
      <c r="R21" s="50">
        <f t="shared" si="21"/>
        <v>111380000</v>
      </c>
      <c r="S21" s="50">
        <f t="shared" si="22"/>
        <v>0</v>
      </c>
      <c r="T21" s="50">
        <f t="shared" si="23"/>
        <v>4900000</v>
      </c>
      <c r="U21" s="50">
        <f t="shared" si="24"/>
        <v>4900000</v>
      </c>
      <c r="V21" s="50">
        <f t="shared" si="25"/>
        <v>0</v>
      </c>
      <c r="W21" s="58"/>
      <c r="X21" s="52"/>
      <c r="Z21" s="54"/>
    </row>
    <row r="22" spans="1:26" s="53" customFormat="1" ht="39" customHeight="1">
      <c r="A22" s="55">
        <f t="shared" si="16"/>
        <v>14</v>
      </c>
      <c r="B22" s="83" t="s">
        <v>91</v>
      </c>
      <c r="C22" s="56" t="s">
        <v>76</v>
      </c>
      <c r="D22" s="56" t="s">
        <v>76</v>
      </c>
      <c r="E22" s="50">
        <v>21345907128</v>
      </c>
      <c r="F22" s="50">
        <v>0</v>
      </c>
      <c r="G22" s="50">
        <f t="shared" si="17"/>
        <v>21345907128</v>
      </c>
      <c r="H22" s="50">
        <v>0</v>
      </c>
      <c r="I22" s="50">
        <v>0</v>
      </c>
      <c r="J22" s="50">
        <v>0</v>
      </c>
      <c r="K22" s="50">
        <f t="shared" si="18"/>
        <v>21345907128</v>
      </c>
      <c r="L22" s="50">
        <v>0</v>
      </c>
      <c r="M22" s="50">
        <v>1656355357</v>
      </c>
      <c r="N22" s="50">
        <v>0</v>
      </c>
      <c r="O22" s="50">
        <v>0</v>
      </c>
      <c r="P22" s="50">
        <f t="shared" si="19"/>
        <v>1656355357</v>
      </c>
      <c r="Q22" s="50">
        <f t="shared" si="20"/>
        <v>19689551771</v>
      </c>
      <c r="R22" s="50">
        <f t="shared" si="21"/>
        <v>21345907128</v>
      </c>
      <c r="S22" s="50">
        <f t="shared" si="22"/>
        <v>0</v>
      </c>
      <c r="T22" s="50">
        <f t="shared" si="23"/>
        <v>1656355357</v>
      </c>
      <c r="U22" s="50">
        <f t="shared" si="24"/>
        <v>1656355357</v>
      </c>
      <c r="V22" s="50">
        <f t="shared" si="25"/>
        <v>0</v>
      </c>
      <c r="W22" s="51"/>
      <c r="X22" s="52"/>
      <c r="Z22" s="54"/>
    </row>
    <row r="23" spans="1:26" s="65" customFormat="1" ht="42.75" customHeight="1">
      <c r="A23" s="59"/>
      <c r="B23" s="60" t="s">
        <v>12</v>
      </c>
      <c r="C23" s="61"/>
      <c r="D23" s="62"/>
      <c r="E23" s="62">
        <f t="shared" ref="E23:V23" si="26">SUM(E9:E22)</f>
        <v>414451471504</v>
      </c>
      <c r="F23" s="62">
        <f t="shared" si="26"/>
        <v>0</v>
      </c>
      <c r="G23" s="62">
        <f t="shared" si="26"/>
        <v>414451471504</v>
      </c>
      <c r="H23" s="62">
        <f t="shared" si="26"/>
        <v>5715737843</v>
      </c>
      <c r="I23" s="62">
        <f t="shared" si="26"/>
        <v>7885202842</v>
      </c>
      <c r="J23" s="62">
        <f t="shared" si="26"/>
        <v>2797225007</v>
      </c>
      <c r="K23" s="62">
        <f t="shared" si="26"/>
        <v>430849637196</v>
      </c>
      <c r="L23" s="62">
        <f t="shared" si="26"/>
        <v>7456945121</v>
      </c>
      <c r="M23" s="62">
        <f t="shared" si="26"/>
        <v>27550048907</v>
      </c>
      <c r="N23" s="62">
        <f t="shared" si="26"/>
        <v>0</v>
      </c>
      <c r="O23" s="62">
        <f t="shared" si="26"/>
        <v>0</v>
      </c>
      <c r="P23" s="62">
        <f t="shared" si="26"/>
        <v>27550048907</v>
      </c>
      <c r="Q23" s="62">
        <f t="shared" si="26"/>
        <v>395842643168</v>
      </c>
      <c r="R23" s="62">
        <f t="shared" si="26"/>
        <v>420167209347</v>
      </c>
      <c r="S23" s="62">
        <f t="shared" si="26"/>
        <v>10682427849</v>
      </c>
      <c r="T23" s="62">
        <f t="shared" si="26"/>
        <v>27550048907</v>
      </c>
      <c r="U23" s="62">
        <f t="shared" si="26"/>
        <v>27550048907</v>
      </c>
      <c r="V23" s="62">
        <f t="shared" si="26"/>
        <v>0</v>
      </c>
      <c r="W23" s="63"/>
      <c r="X23" s="64"/>
    </row>
    <row r="24" spans="1:26" ht="21" customHeight="1">
      <c r="A24" s="66"/>
      <c r="B24" s="67"/>
      <c r="C24" s="68"/>
      <c r="D24" s="69"/>
      <c r="E24" s="70"/>
      <c r="F24" s="69"/>
      <c r="G24" s="70"/>
      <c r="H24" s="69"/>
      <c r="I24" s="69"/>
      <c r="J24" s="69"/>
      <c r="K24" s="70"/>
      <c r="L24" s="70"/>
      <c r="M24" s="69"/>
      <c r="N24" s="70"/>
      <c r="O24" s="69"/>
      <c r="P24" s="70"/>
      <c r="Q24" s="71"/>
      <c r="R24" s="71"/>
      <c r="S24" s="71"/>
      <c r="T24" s="70"/>
      <c r="U24" s="70"/>
      <c r="V24" s="70"/>
      <c r="W24" s="69"/>
    </row>
    <row r="25" spans="1:26" s="76" customFormat="1" ht="31.2">
      <c r="A25" s="74"/>
      <c r="B25" s="75"/>
      <c r="C25" s="86" t="s">
        <v>56</v>
      </c>
      <c r="D25" s="86"/>
      <c r="E25" s="86"/>
      <c r="F25" s="86"/>
      <c r="G25" s="86"/>
      <c r="I25" s="69"/>
      <c r="K25" s="77"/>
      <c r="M25" s="77"/>
      <c r="N25" s="26"/>
      <c r="O25" s="78"/>
      <c r="P25" s="86" t="s">
        <v>1</v>
      </c>
      <c r="Q25" s="86"/>
      <c r="R25" s="86"/>
      <c r="S25" s="86"/>
      <c r="T25" s="86"/>
      <c r="U25" s="86"/>
      <c r="V25" s="86"/>
      <c r="X25" s="79"/>
    </row>
    <row r="26" spans="1:26">
      <c r="T26" s="82"/>
    </row>
  </sheetData>
  <autoFilter ref="A8:X25" xr:uid="{00000000-0009-0000-0000-000003000000}"/>
  <mergeCells count="22">
    <mergeCell ref="C25:G25"/>
    <mergeCell ref="P25:V25"/>
    <mergeCell ref="T5:T7"/>
    <mergeCell ref="U5:U7"/>
    <mergeCell ref="V5:V7"/>
    <mergeCell ref="W5:W7"/>
    <mergeCell ref="X5:X7"/>
    <mergeCell ref="E6:K6"/>
    <mergeCell ref="L6:P6"/>
    <mergeCell ref="Q6:Q7"/>
    <mergeCell ref="R6:R7"/>
    <mergeCell ref="S6:S7"/>
    <mergeCell ref="A1:F1"/>
    <mergeCell ref="P1:W1"/>
    <mergeCell ref="A2:F2"/>
    <mergeCell ref="P2:W2"/>
    <mergeCell ref="A3:W3"/>
    <mergeCell ref="A5:A8"/>
    <mergeCell ref="B5:B8"/>
    <mergeCell ref="C5:C8"/>
    <mergeCell ref="D5:D8"/>
    <mergeCell ref="E5:S5"/>
  </mergeCells>
  <pageMargins left="0.31" right="0" top="0.6" bottom="0.74803149606299202" header="0.31496062992126" footer="0.31496062992126"/>
  <pageSetup paperSize="9" scale="2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6"/>
  <sheetViews>
    <sheetView view="pageBreakPreview" zoomScale="70" zoomScaleNormal="70" zoomScaleSheetLayoutView="70" workbookViewId="0">
      <pane xSplit="4" ySplit="7" topLeftCell="E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73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 t="s">
        <v>63</v>
      </c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" si="0">I9-J9</f>
        <v>#REF!</v>
      </c>
      <c r="L9" s="13"/>
      <c r="M9" s="9"/>
    </row>
    <row r="10" spans="1:13" s="11" customFormat="1" ht="29.25" customHeight="1">
      <c r="A10" s="10">
        <f t="shared" ref="A10:A23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ref="K10:K23" si="2">I10-J10</f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2"/>
        <v>#REF!</v>
      </c>
      <c r="L11" s="13" t="s">
        <v>63</v>
      </c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2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2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2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2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2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2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2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2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2"/>
        <v>#REF!</v>
      </c>
      <c r="L20" s="13"/>
      <c r="M20" s="9"/>
    </row>
    <row r="21" spans="1:13" s="11" customFormat="1" ht="29.25" customHeight="1">
      <c r="A21" s="10">
        <f t="shared" si="1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2"/>
        <v>#REF!</v>
      </c>
      <c r="L21" s="13"/>
      <c r="M21" s="9"/>
    </row>
    <row r="22" spans="1:13" s="11" customFormat="1" ht="29.25" customHeight="1">
      <c r="A22" s="10">
        <f t="shared" si="1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2"/>
        <v>#REF!</v>
      </c>
      <c r="L22" s="32"/>
      <c r="M22" s="9"/>
    </row>
    <row r="23" spans="1:13" s="11" customFormat="1" ht="29.25" customHeight="1">
      <c r="A23" s="10">
        <f t="shared" si="1"/>
        <v>16</v>
      </c>
      <c r="B23" s="12" t="e">
        <f>#REF!</f>
        <v>#REF!</v>
      </c>
      <c r="C23" s="27" t="e">
        <f>#REF!</f>
        <v>#REF!</v>
      </c>
      <c r="D23" s="27" t="e">
        <f>#REF!</f>
        <v>#REF!</v>
      </c>
      <c r="E23" s="13" t="e">
        <f>#REF!</f>
        <v>#REF!</v>
      </c>
      <c r="F23" s="13" t="e">
        <f>#REF!</f>
        <v>#REF!</v>
      </c>
      <c r="G23" s="13" t="e">
        <f>#REF!</f>
        <v>#REF!</v>
      </c>
      <c r="H23" s="14" t="e">
        <f>#REF!</f>
        <v>#REF!</v>
      </c>
      <c r="I23" s="15" t="e">
        <f>#REF!</f>
        <v>#REF!</v>
      </c>
      <c r="J23" s="14" t="e">
        <f>#REF!</f>
        <v>#REF!</v>
      </c>
      <c r="K23" s="14" t="e">
        <f t="shared" si="2"/>
        <v>#REF!</v>
      </c>
      <c r="L23" s="32"/>
      <c r="M23" s="9"/>
    </row>
    <row r="24" spans="1:13" s="19" customFormat="1" ht="22.5" customHeight="1">
      <c r="A24" s="16"/>
      <c r="B24" s="25" t="s">
        <v>60</v>
      </c>
      <c r="C24" s="16"/>
      <c r="D24" s="16"/>
      <c r="E24" s="18" t="e">
        <f t="shared" ref="E24:I24" si="3">SUBTOTAL(9,E8:E23)</f>
        <v>#REF!</v>
      </c>
      <c r="F24" s="18" t="e">
        <f t="shared" si="3"/>
        <v>#REF!</v>
      </c>
      <c r="G24" s="18" t="e">
        <f t="shared" si="3"/>
        <v>#REF!</v>
      </c>
      <c r="H24" s="18" t="e">
        <f t="shared" si="3"/>
        <v>#REF!</v>
      </c>
      <c r="I24" s="18" t="e">
        <f t="shared" si="3"/>
        <v>#REF!</v>
      </c>
      <c r="J24" s="18" t="e">
        <f>SUBTOTAL(9,J8:J23)</f>
        <v>#REF!</v>
      </c>
      <c r="K24" s="18" t="e">
        <f>SUBTOTAL(9,K8:K23)</f>
        <v>#REF!</v>
      </c>
      <c r="L24" s="17"/>
      <c r="M24" s="9"/>
    </row>
    <row r="25" spans="1:13" ht="11.25" customHeight="1">
      <c r="B25" s="6"/>
    </row>
    <row r="26" spans="1:13" s="24" customFormat="1" ht="23.25" customHeight="1">
      <c r="A26" s="108" t="s">
        <v>56</v>
      </c>
      <c r="B26" s="108"/>
      <c r="C26" s="108"/>
      <c r="D26" s="108"/>
      <c r="E26" s="108"/>
      <c r="F26" s="108"/>
      <c r="G26" s="109" t="s">
        <v>1</v>
      </c>
      <c r="H26" s="109"/>
      <c r="I26" s="109"/>
      <c r="J26" s="109"/>
      <c r="K26" s="109"/>
      <c r="L26" s="109"/>
    </row>
  </sheetData>
  <autoFilter ref="A7:M21" xr:uid="{00000000-0009-0000-0000-000004000000}"/>
  <mergeCells count="16">
    <mergeCell ref="I6:I7"/>
    <mergeCell ref="J6:J7"/>
    <mergeCell ref="K6:K7"/>
    <mergeCell ref="L6:L7"/>
    <mergeCell ref="A26:F26"/>
    <mergeCell ref="G26:L26"/>
    <mergeCell ref="A6:A7"/>
    <mergeCell ref="B6:B7"/>
    <mergeCell ref="C6:C7"/>
    <mergeCell ref="D6:D7"/>
    <mergeCell ref="E6:H6"/>
    <mergeCell ref="A1:C1"/>
    <mergeCell ref="H1:L1"/>
    <mergeCell ref="A2:C2"/>
    <mergeCell ref="H2:L2"/>
    <mergeCell ref="A4:L4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6"/>
  <sheetViews>
    <sheetView view="pageBreakPreview" zoomScale="70" zoomScaleNormal="70" zoomScaleSheetLayoutView="70" workbookViewId="0">
      <pane xSplit="4" ySplit="7" topLeftCell="E8" activePane="bottomRight" state="frozen"/>
      <selection activeCell="U13" sqref="U13"/>
      <selection pane="topRight" activeCell="U13" sqref="U13"/>
      <selection pane="bottomLeft" activeCell="U13" sqref="U13"/>
      <selection pane="bottomRight" activeCell="U13" sqref="U13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72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" si="0">I9-J9</f>
        <v>#REF!</v>
      </c>
      <c r="L9" s="13" t="s">
        <v>63</v>
      </c>
      <c r="M9" s="9"/>
    </row>
    <row r="10" spans="1:13" s="11" customFormat="1" ht="29.25" customHeight="1">
      <c r="A10" s="10">
        <f t="shared" ref="A10:A23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ref="K10:K23" si="2">I10-J10</f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2"/>
        <v>#REF!</v>
      </c>
      <c r="L11" s="13" t="s">
        <v>63</v>
      </c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2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2"/>
        <v>#REF!</v>
      </c>
      <c r="L13" s="13" t="s">
        <v>63</v>
      </c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2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2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2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2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2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2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2"/>
        <v>#REF!</v>
      </c>
      <c r="L20" s="13"/>
      <c r="M20" s="9"/>
    </row>
    <row r="21" spans="1:13" s="11" customFormat="1" ht="29.25" customHeight="1">
      <c r="A21" s="10">
        <f t="shared" si="1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2"/>
        <v>#REF!</v>
      </c>
      <c r="L21" s="13"/>
      <c r="M21" s="9"/>
    </row>
    <row r="22" spans="1:13" s="11" customFormat="1" ht="29.25" customHeight="1">
      <c r="A22" s="10">
        <f t="shared" si="1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2"/>
        <v>#REF!</v>
      </c>
      <c r="L22" s="32"/>
      <c r="M22" s="9"/>
    </row>
    <row r="23" spans="1:13" s="11" customFormat="1" ht="29.25" customHeight="1">
      <c r="A23" s="10">
        <f t="shared" si="1"/>
        <v>16</v>
      </c>
      <c r="B23" s="12" t="e">
        <f>#REF!</f>
        <v>#REF!</v>
      </c>
      <c r="C23" s="27" t="e">
        <f>#REF!</f>
        <v>#REF!</v>
      </c>
      <c r="D23" s="27" t="e">
        <f>#REF!</f>
        <v>#REF!</v>
      </c>
      <c r="E23" s="13" t="e">
        <f>#REF!</f>
        <v>#REF!</v>
      </c>
      <c r="F23" s="13" t="e">
        <f>#REF!</f>
        <v>#REF!</v>
      </c>
      <c r="G23" s="13" t="e">
        <f>#REF!</f>
        <v>#REF!</v>
      </c>
      <c r="H23" s="14" t="e">
        <f>#REF!</f>
        <v>#REF!</v>
      </c>
      <c r="I23" s="15" t="e">
        <f>#REF!</f>
        <v>#REF!</v>
      </c>
      <c r="J23" s="14" t="e">
        <f>#REF!</f>
        <v>#REF!</v>
      </c>
      <c r="K23" s="14" t="e">
        <f t="shared" si="2"/>
        <v>#REF!</v>
      </c>
      <c r="L23" s="32"/>
      <c r="M23" s="9"/>
    </row>
    <row r="24" spans="1:13" s="19" customFormat="1" ht="22.5" customHeight="1">
      <c r="A24" s="16"/>
      <c r="B24" s="25" t="s">
        <v>60</v>
      </c>
      <c r="C24" s="16"/>
      <c r="D24" s="16"/>
      <c r="E24" s="18" t="e">
        <f t="shared" ref="E24:I24" si="3">SUBTOTAL(9,E8:E23)</f>
        <v>#REF!</v>
      </c>
      <c r="F24" s="18" t="e">
        <f t="shared" si="3"/>
        <v>#REF!</v>
      </c>
      <c r="G24" s="18" t="e">
        <f t="shared" si="3"/>
        <v>#REF!</v>
      </c>
      <c r="H24" s="18" t="e">
        <f t="shared" si="3"/>
        <v>#REF!</v>
      </c>
      <c r="I24" s="18" t="e">
        <f t="shared" si="3"/>
        <v>#REF!</v>
      </c>
      <c r="J24" s="18" t="e">
        <f>SUBTOTAL(9,J8:J23)</f>
        <v>#REF!</v>
      </c>
      <c r="K24" s="18" t="e">
        <f>SUBTOTAL(9,K8:K23)</f>
        <v>#REF!</v>
      </c>
      <c r="L24" s="17"/>
      <c r="M24" s="9"/>
    </row>
    <row r="25" spans="1:13" ht="11.25" customHeight="1">
      <c r="B25" s="6"/>
    </row>
    <row r="26" spans="1:13" s="24" customFormat="1" ht="23.25" customHeight="1">
      <c r="A26" s="108" t="s">
        <v>56</v>
      </c>
      <c r="B26" s="108"/>
      <c r="C26" s="108"/>
      <c r="D26" s="108"/>
      <c r="E26" s="108"/>
      <c r="F26" s="108"/>
      <c r="G26" s="109" t="s">
        <v>1</v>
      </c>
      <c r="H26" s="109"/>
      <c r="I26" s="109"/>
      <c r="J26" s="109"/>
      <c r="K26" s="109"/>
      <c r="L26" s="109"/>
    </row>
  </sheetData>
  <autoFilter ref="A7:M21" xr:uid="{00000000-0009-0000-0000-000005000000}"/>
  <mergeCells count="16">
    <mergeCell ref="A1:C1"/>
    <mergeCell ref="H1:L1"/>
    <mergeCell ref="A2:C2"/>
    <mergeCell ref="H2:L2"/>
    <mergeCell ref="A4:L4"/>
    <mergeCell ref="I6:I7"/>
    <mergeCell ref="J6:J7"/>
    <mergeCell ref="K6:K7"/>
    <mergeCell ref="L6:L7"/>
    <mergeCell ref="A26:F26"/>
    <mergeCell ref="G26:L26"/>
    <mergeCell ref="A6:A7"/>
    <mergeCell ref="B6:B7"/>
    <mergeCell ref="C6:C7"/>
    <mergeCell ref="D6:D7"/>
    <mergeCell ref="E6:H6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5"/>
  <sheetViews>
    <sheetView view="pageBreakPreview" zoomScale="70" zoomScaleNormal="70" zoomScaleSheetLayoutView="70" workbookViewId="0">
      <pane xSplit="4" ySplit="7" topLeftCell="E17" activePane="bottomRight" state="frozen"/>
      <selection activeCell="U24" sqref="U24"/>
      <selection pane="topRight" activeCell="U24" sqref="U24"/>
      <selection pane="bottomLeft" activeCell="U24" sqref="U24"/>
      <selection pane="bottomRight" activeCell="A8" sqref="A8:L22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71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:K20" si="0">I9-J9</f>
        <v>#REF!</v>
      </c>
      <c r="L9" s="13"/>
      <c r="M9" s="9"/>
    </row>
    <row r="10" spans="1:13" s="11" customFormat="1" ht="29.25" customHeight="1">
      <c r="A10" s="10">
        <f t="shared" ref="A10:A20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si="0"/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0"/>
        <v>#REF!</v>
      </c>
      <c r="L11" s="13" t="s">
        <v>63</v>
      </c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0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0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0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0"/>
        <v>#REF!</v>
      </c>
      <c r="L15" s="13" t="s">
        <v>63</v>
      </c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0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0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0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0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0"/>
        <v>#REF!</v>
      </c>
      <c r="L20" s="13"/>
      <c r="M20" s="9"/>
    </row>
    <row r="21" spans="1:13" s="11" customFormat="1" ht="29.25" customHeight="1">
      <c r="A21" s="10">
        <f t="shared" ref="A21:A22" si="2">A20+1</f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ref="K21:K22" si="3">I21-J21</f>
        <v>#REF!</v>
      </c>
      <c r="L21" s="13"/>
      <c r="M21" s="9"/>
    </row>
    <row r="22" spans="1:13" s="11" customFormat="1" ht="29.25" customHeight="1">
      <c r="A22" s="10">
        <f t="shared" si="2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3"/>
        <v>#REF!</v>
      </c>
      <c r="L22" s="32"/>
      <c r="M22" s="9"/>
    </row>
    <row r="23" spans="1:13" s="19" customFormat="1" ht="22.5" customHeight="1">
      <c r="A23" s="16"/>
      <c r="B23" s="25" t="s">
        <v>60</v>
      </c>
      <c r="C23" s="16"/>
      <c r="D23" s="16"/>
      <c r="E23" s="18" t="e">
        <f t="shared" ref="E23:I23" si="4">SUBTOTAL(9,E8:E22)</f>
        <v>#REF!</v>
      </c>
      <c r="F23" s="18" t="e">
        <f t="shared" si="4"/>
        <v>#REF!</v>
      </c>
      <c r="G23" s="18" t="e">
        <f t="shared" si="4"/>
        <v>#REF!</v>
      </c>
      <c r="H23" s="18" t="e">
        <f t="shared" si="4"/>
        <v>#REF!</v>
      </c>
      <c r="I23" s="18" t="e">
        <f t="shared" si="4"/>
        <v>#REF!</v>
      </c>
      <c r="J23" s="18" t="e">
        <f>SUBTOTAL(9,J8:J22)</f>
        <v>#REF!</v>
      </c>
      <c r="K23" s="18" t="e">
        <f>SUBTOTAL(9,K8:K22)</f>
        <v>#REF!</v>
      </c>
      <c r="L23" s="17"/>
      <c r="M23" s="9"/>
    </row>
    <row r="24" spans="1:13" ht="11.25" customHeight="1">
      <c r="B24" s="6"/>
    </row>
    <row r="25" spans="1:13" s="24" customFormat="1" ht="23.25" customHeight="1">
      <c r="A25" s="108" t="s">
        <v>56</v>
      </c>
      <c r="B25" s="108"/>
      <c r="C25" s="108"/>
      <c r="D25" s="108"/>
      <c r="E25" s="108"/>
      <c r="F25" s="108"/>
      <c r="G25" s="109" t="s">
        <v>1</v>
      </c>
      <c r="H25" s="109"/>
      <c r="I25" s="109"/>
      <c r="J25" s="109"/>
      <c r="K25" s="109"/>
      <c r="L25" s="109"/>
    </row>
  </sheetData>
  <autoFilter ref="A7:M21" xr:uid="{00000000-0009-0000-0000-000006000000}"/>
  <mergeCells count="16">
    <mergeCell ref="A1:C1"/>
    <mergeCell ref="H1:L1"/>
    <mergeCell ref="A2:C2"/>
    <mergeCell ref="H2:L2"/>
    <mergeCell ref="A4:L4"/>
    <mergeCell ref="I6:I7"/>
    <mergeCell ref="J6:J7"/>
    <mergeCell ref="K6:K7"/>
    <mergeCell ref="L6:L7"/>
    <mergeCell ref="A25:F25"/>
    <mergeCell ref="G25:L25"/>
    <mergeCell ref="A6:A7"/>
    <mergeCell ref="B6:B7"/>
    <mergeCell ref="C6:C7"/>
    <mergeCell ref="D6:D7"/>
    <mergeCell ref="E6:H6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24"/>
  <sheetViews>
    <sheetView view="pageBreakPreview" zoomScale="85" zoomScaleNormal="70" zoomScaleSheetLayoutView="85" workbookViewId="0">
      <pane xSplit="4" ySplit="7" topLeftCell="E8" activePane="bottomRight" state="frozen"/>
      <selection activeCell="B9" sqref="B9:B22"/>
      <selection pane="topRight" activeCell="B9" sqref="B9:B22"/>
      <selection pane="bottomLeft" activeCell="B9" sqref="B9:B22"/>
      <selection pane="bottomRight" activeCell="B9" sqref="B9:B22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70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 t="s">
        <v>63</v>
      </c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:K21" si="0">I9-J9</f>
        <v>#REF!</v>
      </c>
      <c r="L9" s="13"/>
      <c r="M9" s="9"/>
    </row>
    <row r="10" spans="1:13" s="11" customFormat="1" ht="29.25" customHeight="1">
      <c r="A10" s="10">
        <f t="shared" ref="A10:A21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si="0"/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0"/>
        <v>#REF!</v>
      </c>
      <c r="L11" s="13" t="s">
        <v>63</v>
      </c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0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0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0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0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0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0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0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0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0"/>
        <v>#REF!</v>
      </c>
      <c r="L20" s="13"/>
      <c r="M20" s="9"/>
    </row>
    <row r="21" spans="1:13" s="11" customFormat="1" ht="29.25" customHeight="1">
      <c r="A21" s="10">
        <f t="shared" si="1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0"/>
        <v>#REF!</v>
      </c>
      <c r="L21" s="13"/>
      <c r="M21" s="9"/>
    </row>
    <row r="22" spans="1:13" s="19" customFormat="1" ht="22.5" customHeight="1">
      <c r="A22" s="16"/>
      <c r="B22" s="25" t="s">
        <v>60</v>
      </c>
      <c r="C22" s="16"/>
      <c r="D22" s="16"/>
      <c r="E22" s="18" t="e">
        <f t="shared" ref="E22:K22" si="2">SUBTOTAL(9,E8:E21)</f>
        <v>#REF!</v>
      </c>
      <c r="F22" s="18" t="e">
        <f t="shared" si="2"/>
        <v>#REF!</v>
      </c>
      <c r="G22" s="18" t="e">
        <f t="shared" si="2"/>
        <v>#REF!</v>
      </c>
      <c r="H22" s="18" t="e">
        <f t="shared" si="2"/>
        <v>#REF!</v>
      </c>
      <c r="I22" s="18" t="e">
        <f t="shared" si="2"/>
        <v>#REF!</v>
      </c>
      <c r="J22" s="18" t="e">
        <f t="shared" si="2"/>
        <v>#REF!</v>
      </c>
      <c r="K22" s="18" t="e">
        <f t="shared" si="2"/>
        <v>#REF!</v>
      </c>
      <c r="L22" s="17"/>
      <c r="M22" s="9"/>
    </row>
    <row r="23" spans="1:13" ht="11.25" customHeight="1">
      <c r="B23" s="6"/>
    </row>
    <row r="24" spans="1:13" s="24" customFormat="1" ht="23.25" customHeight="1">
      <c r="A24" s="108" t="s">
        <v>56</v>
      </c>
      <c r="B24" s="108"/>
      <c r="C24" s="108"/>
      <c r="D24" s="108"/>
      <c r="E24" s="108"/>
      <c r="F24" s="108"/>
      <c r="G24" s="109" t="s">
        <v>1</v>
      </c>
      <c r="H24" s="109"/>
      <c r="I24" s="109"/>
      <c r="J24" s="109"/>
      <c r="K24" s="109"/>
      <c r="L24" s="109"/>
    </row>
  </sheetData>
  <autoFilter ref="A7:M21" xr:uid="{00000000-0009-0000-0000-000007000000}"/>
  <mergeCells count="16">
    <mergeCell ref="I6:I7"/>
    <mergeCell ref="J6:J7"/>
    <mergeCell ref="K6:K7"/>
    <mergeCell ref="L6:L7"/>
    <mergeCell ref="A24:F24"/>
    <mergeCell ref="G24:L24"/>
    <mergeCell ref="A6:A7"/>
    <mergeCell ref="B6:B7"/>
    <mergeCell ref="C6:C7"/>
    <mergeCell ref="D6:D7"/>
    <mergeCell ref="E6:H6"/>
    <mergeCell ref="A1:C1"/>
    <mergeCell ref="H1:L1"/>
    <mergeCell ref="A2:C2"/>
    <mergeCell ref="H2:L2"/>
    <mergeCell ref="A4:L4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5"/>
  <sheetViews>
    <sheetView view="pageBreakPreview" zoomScale="85" zoomScaleNormal="70" zoomScaleSheetLayoutView="85" workbookViewId="0">
      <pane xSplit="4" ySplit="7" topLeftCell="E8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68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" si="0">I9-J9</f>
        <v>#REF!</v>
      </c>
      <c r="L9" s="13" t="s">
        <v>63</v>
      </c>
      <c r="M9" s="9"/>
    </row>
    <row r="10" spans="1:13" s="11" customFormat="1" ht="29.25" customHeight="1">
      <c r="A10" s="10">
        <f t="shared" ref="A10:A22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ref="K10:K22" si="2">I10-J10</f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2"/>
        <v>#REF!</v>
      </c>
      <c r="L11" s="13"/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2"/>
        <v>#REF!</v>
      </c>
      <c r="L12" s="13" t="s">
        <v>63</v>
      </c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2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2"/>
        <v>#REF!</v>
      </c>
      <c r="L14" s="13" t="s">
        <v>63</v>
      </c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2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2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2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2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2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2"/>
        <v>#REF!</v>
      </c>
      <c r="L20" s="13" t="s">
        <v>69</v>
      </c>
      <c r="M20" s="9"/>
    </row>
    <row r="21" spans="1:13" s="11" customFormat="1" ht="29.25" customHeight="1">
      <c r="A21" s="10">
        <f t="shared" si="1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2"/>
        <v>#REF!</v>
      </c>
      <c r="L21" s="13"/>
      <c r="M21" s="9"/>
    </row>
    <row r="22" spans="1:13" s="11" customFormat="1" ht="29.25" customHeight="1">
      <c r="A22" s="10">
        <f t="shared" si="1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2"/>
        <v>#REF!</v>
      </c>
      <c r="L22" s="13"/>
      <c r="M22" s="9"/>
    </row>
    <row r="23" spans="1:13" s="19" customFormat="1" ht="22.5" customHeight="1">
      <c r="A23" s="16"/>
      <c r="B23" s="25" t="s">
        <v>60</v>
      </c>
      <c r="C23" s="16"/>
      <c r="D23" s="16"/>
      <c r="E23" s="18" t="e">
        <f t="shared" ref="E23:K23" si="3">SUBTOTAL(9,E8:E22)</f>
        <v>#REF!</v>
      </c>
      <c r="F23" s="18" t="e">
        <f t="shared" si="3"/>
        <v>#REF!</v>
      </c>
      <c r="G23" s="18" t="e">
        <f t="shared" si="3"/>
        <v>#REF!</v>
      </c>
      <c r="H23" s="18" t="e">
        <f t="shared" si="3"/>
        <v>#REF!</v>
      </c>
      <c r="I23" s="18" t="e">
        <f t="shared" si="3"/>
        <v>#REF!</v>
      </c>
      <c r="J23" s="18" t="e">
        <f t="shared" si="3"/>
        <v>#REF!</v>
      </c>
      <c r="K23" s="18" t="e">
        <f t="shared" si="3"/>
        <v>#REF!</v>
      </c>
      <c r="L23" s="17"/>
      <c r="M23" s="9"/>
    </row>
    <row r="24" spans="1:13" ht="11.25" customHeight="1">
      <c r="B24" s="6"/>
    </row>
    <row r="25" spans="1:13" s="24" customFormat="1" ht="23.25" customHeight="1">
      <c r="A25" s="108" t="s">
        <v>56</v>
      </c>
      <c r="B25" s="108"/>
      <c r="C25" s="108"/>
      <c r="D25" s="108"/>
      <c r="E25" s="108"/>
      <c r="F25" s="108"/>
      <c r="G25" s="109" t="s">
        <v>1</v>
      </c>
      <c r="H25" s="109"/>
      <c r="I25" s="109"/>
      <c r="J25" s="109"/>
      <c r="K25" s="109"/>
      <c r="L25" s="109"/>
    </row>
  </sheetData>
  <autoFilter ref="A7:M22" xr:uid="{00000000-0009-0000-0000-000008000000}"/>
  <mergeCells count="16">
    <mergeCell ref="I6:I7"/>
    <mergeCell ref="J6:J7"/>
    <mergeCell ref="K6:K7"/>
    <mergeCell ref="L6:L7"/>
    <mergeCell ref="A25:F25"/>
    <mergeCell ref="G25:L25"/>
    <mergeCell ref="A6:A7"/>
    <mergeCell ref="B6:B7"/>
    <mergeCell ref="C6:C7"/>
    <mergeCell ref="D6:D7"/>
    <mergeCell ref="E6:H6"/>
    <mergeCell ref="A1:C1"/>
    <mergeCell ref="H1:L1"/>
    <mergeCell ref="A2:C2"/>
    <mergeCell ref="H2:L2"/>
    <mergeCell ref="A4:L4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2"/>
  <sheetViews>
    <sheetView view="pageBreakPreview" zoomScale="85" zoomScaleNormal="70" zoomScaleSheetLayoutView="85" workbookViewId="0">
      <pane xSplit="4" ySplit="7" topLeftCell="E8" activePane="bottomRight" state="frozen"/>
      <selection activeCell="L12" sqref="L12:L19"/>
      <selection pane="topRight" activeCell="L12" sqref="L12:L19"/>
      <selection pane="bottomLeft" activeCell="L12" sqref="L12:L19"/>
      <selection pane="bottomRight" activeCell="L12" sqref="L12:L19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67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 t="s">
        <v>63</v>
      </c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" si="0">I9-J9</f>
        <v>#REF!</v>
      </c>
      <c r="L9" s="13" t="s">
        <v>63</v>
      </c>
      <c r="M9" s="9"/>
    </row>
    <row r="10" spans="1:13" s="11" customFormat="1" ht="29.25" customHeight="1">
      <c r="A10" s="10">
        <f t="shared" ref="A10:A19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ref="K10:K19" si="2">I10-J10</f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2"/>
        <v>#REF!</v>
      </c>
      <c r="L11" s="13" t="s">
        <v>63</v>
      </c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2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2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2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2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2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2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2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2"/>
        <v>#REF!</v>
      </c>
      <c r="L19" s="13"/>
      <c r="M19" s="9"/>
    </row>
    <row r="20" spans="1:13" s="19" customFormat="1" ht="22.5" customHeight="1">
      <c r="A20" s="16"/>
      <c r="B20" s="25" t="s">
        <v>60</v>
      </c>
      <c r="C20" s="16"/>
      <c r="D20" s="16"/>
      <c r="E20" s="18" t="e">
        <f t="shared" ref="E20:K20" si="3">SUBTOTAL(9,E8:E19)</f>
        <v>#REF!</v>
      </c>
      <c r="F20" s="18" t="e">
        <f t="shared" si="3"/>
        <v>#REF!</v>
      </c>
      <c r="G20" s="18" t="e">
        <f t="shared" si="3"/>
        <v>#REF!</v>
      </c>
      <c r="H20" s="18" t="e">
        <f t="shared" si="3"/>
        <v>#REF!</v>
      </c>
      <c r="I20" s="18" t="e">
        <f t="shared" si="3"/>
        <v>#REF!</v>
      </c>
      <c r="J20" s="18" t="e">
        <f t="shared" si="3"/>
        <v>#REF!</v>
      </c>
      <c r="K20" s="18" t="e">
        <f t="shared" si="3"/>
        <v>#REF!</v>
      </c>
      <c r="L20" s="17"/>
      <c r="M20" s="9"/>
    </row>
    <row r="21" spans="1:13" ht="11.25" customHeight="1">
      <c r="B21" s="6"/>
    </row>
    <row r="22" spans="1:13" s="24" customFormat="1" ht="23.25" customHeight="1">
      <c r="A22" s="108" t="s">
        <v>56</v>
      </c>
      <c r="B22" s="108"/>
      <c r="C22" s="108"/>
      <c r="D22" s="108"/>
      <c r="E22" s="108"/>
      <c r="F22" s="108"/>
      <c r="G22" s="109" t="s">
        <v>1</v>
      </c>
      <c r="H22" s="109"/>
      <c r="I22" s="109"/>
      <c r="J22" s="109"/>
      <c r="K22" s="109"/>
      <c r="L22" s="109"/>
    </row>
  </sheetData>
  <autoFilter ref="A7:M19" xr:uid="{00000000-0009-0000-0000-000009000000}"/>
  <mergeCells count="16">
    <mergeCell ref="A1:C1"/>
    <mergeCell ref="H1:L1"/>
    <mergeCell ref="A2:C2"/>
    <mergeCell ref="H2:L2"/>
    <mergeCell ref="A4:L4"/>
    <mergeCell ref="I6:I7"/>
    <mergeCell ref="J6:J7"/>
    <mergeCell ref="K6:K7"/>
    <mergeCell ref="L6:L7"/>
    <mergeCell ref="A22:F22"/>
    <mergeCell ref="G22:L22"/>
    <mergeCell ref="A6:A7"/>
    <mergeCell ref="B6:B7"/>
    <mergeCell ref="C6:C7"/>
    <mergeCell ref="D6:D7"/>
    <mergeCell ref="E6:H6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25"/>
  <sheetViews>
    <sheetView view="pageBreakPreview" zoomScale="85" zoomScaleNormal="70" zoomScaleSheetLayoutView="85" workbookViewId="0">
      <pane xSplit="4" ySplit="7" topLeftCell="E14" activePane="bottomRight" state="frozen"/>
      <selection activeCell="O9" sqref="C5:S9"/>
      <selection pane="topRight" activeCell="O9" sqref="C5:S9"/>
      <selection pane="bottomLeft" activeCell="O9" sqref="C5:S9"/>
      <selection pane="bottomRight" activeCell="O9" sqref="C5:S9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66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:K22" si="0">I9-J9</f>
        <v>#REF!</v>
      </c>
      <c r="L9" s="13" t="s">
        <v>63</v>
      </c>
      <c r="M9" s="9"/>
    </row>
    <row r="10" spans="1:13" s="11" customFormat="1" ht="29.25" customHeight="1">
      <c r="A10" s="10">
        <f t="shared" ref="A10:A22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si="0"/>
        <v>#REF!</v>
      </c>
      <c r="L10" s="13" t="s">
        <v>63</v>
      </c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0"/>
        <v>#REF!</v>
      </c>
      <c r="L11" s="13" t="s">
        <v>63</v>
      </c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0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0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0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0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0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0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0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0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0"/>
        <v>#REF!</v>
      </c>
      <c r="L20" s="13"/>
      <c r="M20" s="9"/>
    </row>
    <row r="21" spans="1:13" s="11" customFormat="1" ht="29.25" customHeight="1">
      <c r="A21" s="10">
        <f t="shared" si="1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0"/>
        <v>#REF!</v>
      </c>
      <c r="L21" s="13"/>
      <c r="M21" s="9"/>
    </row>
    <row r="22" spans="1:13" s="11" customFormat="1" ht="29.25" customHeight="1">
      <c r="A22" s="10">
        <f t="shared" si="1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0"/>
        <v>#REF!</v>
      </c>
      <c r="L22" s="13"/>
      <c r="M22" s="9"/>
    </row>
    <row r="23" spans="1:13" s="19" customFormat="1" ht="22.5" customHeight="1">
      <c r="A23" s="16"/>
      <c r="B23" s="25" t="s">
        <v>60</v>
      </c>
      <c r="C23" s="16"/>
      <c r="D23" s="16"/>
      <c r="E23" s="18" t="e">
        <f t="shared" ref="E23:K23" si="2">SUBTOTAL(9,E8:E22)</f>
        <v>#REF!</v>
      </c>
      <c r="F23" s="18" t="e">
        <f t="shared" si="2"/>
        <v>#REF!</v>
      </c>
      <c r="G23" s="18" t="e">
        <f t="shared" si="2"/>
        <v>#REF!</v>
      </c>
      <c r="H23" s="18" t="e">
        <f t="shared" si="2"/>
        <v>#REF!</v>
      </c>
      <c r="I23" s="18" t="e">
        <f t="shared" si="2"/>
        <v>#REF!</v>
      </c>
      <c r="J23" s="18" t="e">
        <f t="shared" si="2"/>
        <v>#REF!</v>
      </c>
      <c r="K23" s="18" t="e">
        <f t="shared" si="2"/>
        <v>#REF!</v>
      </c>
      <c r="L23" s="17"/>
      <c r="M23" s="9"/>
    </row>
    <row r="24" spans="1:13" ht="11.25" customHeight="1">
      <c r="B24" s="6"/>
    </row>
    <row r="25" spans="1:13" s="24" customFormat="1" ht="23.25" customHeight="1">
      <c r="A25" s="108" t="s">
        <v>56</v>
      </c>
      <c r="B25" s="108"/>
      <c r="C25" s="108"/>
      <c r="D25" s="108"/>
      <c r="E25" s="108"/>
      <c r="F25" s="108"/>
      <c r="G25" s="109" t="s">
        <v>1</v>
      </c>
      <c r="H25" s="109"/>
      <c r="I25" s="109"/>
      <c r="J25" s="109"/>
      <c r="K25" s="109"/>
      <c r="L25" s="109"/>
    </row>
  </sheetData>
  <autoFilter ref="A7:M22" xr:uid="{00000000-0009-0000-0000-00000A000000}"/>
  <mergeCells count="16">
    <mergeCell ref="A1:C1"/>
    <mergeCell ref="H1:L1"/>
    <mergeCell ref="A2:C2"/>
    <mergeCell ref="H2:L2"/>
    <mergeCell ref="A4:L4"/>
    <mergeCell ref="I6:I7"/>
    <mergeCell ref="J6:J7"/>
    <mergeCell ref="K6:K7"/>
    <mergeCell ref="L6:L7"/>
    <mergeCell ref="A25:F25"/>
    <mergeCell ref="G25:L25"/>
    <mergeCell ref="A6:A7"/>
    <mergeCell ref="B6:B7"/>
    <mergeCell ref="C6:C7"/>
    <mergeCell ref="D6:D7"/>
    <mergeCell ref="E6:H6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6"/>
  <sheetViews>
    <sheetView view="pageBreakPreview" zoomScale="85" zoomScaleNormal="70" zoomScaleSheetLayoutView="85" workbookViewId="0">
      <pane xSplit="4" ySplit="7" topLeftCell="E13" activePane="bottomRight" state="frozen"/>
      <selection activeCell="S24" sqref="S24"/>
      <selection pane="topRight" activeCell="S24" sqref="S24"/>
      <selection pane="bottomLeft" activeCell="S24" sqref="S24"/>
      <selection pane="bottomRight" activeCell="S24" sqref="S24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65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:K23" si="0">I9-J9</f>
        <v>#REF!</v>
      </c>
      <c r="L9" s="13"/>
      <c r="M9" s="9"/>
    </row>
    <row r="10" spans="1:13" s="11" customFormat="1" ht="29.25" customHeight="1">
      <c r="A10" s="10">
        <f t="shared" ref="A10:A23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si="0"/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0"/>
        <v>#REF!</v>
      </c>
      <c r="L11" s="13"/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0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0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0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0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0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0"/>
        <v>#REF!</v>
      </c>
      <c r="L17" s="13" t="s">
        <v>63</v>
      </c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0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0"/>
        <v>#REF!</v>
      </c>
      <c r="L19" s="13"/>
      <c r="M19" s="9"/>
    </row>
    <row r="20" spans="1:13" s="11" customFormat="1" ht="29.25" customHeight="1">
      <c r="A20" s="10">
        <f t="shared" si="1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0"/>
        <v>#REF!</v>
      </c>
      <c r="L20" s="13"/>
      <c r="M20" s="9"/>
    </row>
    <row r="21" spans="1:13" s="11" customFormat="1" ht="29.25" customHeight="1">
      <c r="A21" s="10">
        <f t="shared" si="1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0"/>
        <v>#REF!</v>
      </c>
      <c r="L21" s="13"/>
      <c r="M21" s="9"/>
    </row>
    <row r="22" spans="1:13" s="11" customFormat="1" ht="29.25" customHeight="1">
      <c r="A22" s="10">
        <f t="shared" si="1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0"/>
        <v>#REF!</v>
      </c>
      <c r="L22" s="13"/>
      <c r="M22" s="9"/>
    </row>
    <row r="23" spans="1:13" s="11" customFormat="1" ht="29.25" customHeight="1">
      <c r="A23" s="10">
        <f t="shared" si="1"/>
        <v>16</v>
      </c>
      <c r="B23" s="12" t="e">
        <f>#REF!</f>
        <v>#REF!</v>
      </c>
      <c r="C23" s="27" t="e">
        <f>#REF!</f>
        <v>#REF!</v>
      </c>
      <c r="D23" s="27" t="e">
        <f>#REF!</f>
        <v>#REF!</v>
      </c>
      <c r="E23" s="13" t="e">
        <f>#REF!</f>
        <v>#REF!</v>
      </c>
      <c r="F23" s="13" t="e">
        <f>#REF!</f>
        <v>#REF!</v>
      </c>
      <c r="G23" s="13" t="e">
        <f>#REF!</f>
        <v>#REF!</v>
      </c>
      <c r="H23" s="14" t="e">
        <f>#REF!</f>
        <v>#REF!</v>
      </c>
      <c r="I23" s="15" t="e">
        <f>#REF!</f>
        <v>#REF!</v>
      </c>
      <c r="J23" s="14" t="e">
        <f>#REF!</f>
        <v>#REF!</v>
      </c>
      <c r="K23" s="14" t="e">
        <f t="shared" si="0"/>
        <v>#REF!</v>
      </c>
      <c r="L23" s="13"/>
      <c r="M23" s="9"/>
    </row>
    <row r="24" spans="1:13" s="19" customFormat="1" ht="22.5" customHeight="1">
      <c r="A24" s="16"/>
      <c r="B24" s="25" t="s">
        <v>60</v>
      </c>
      <c r="C24" s="16"/>
      <c r="D24" s="16"/>
      <c r="E24" s="18" t="e">
        <f t="shared" ref="E24:K24" si="2">SUBTOTAL(9,E8:E23)</f>
        <v>#REF!</v>
      </c>
      <c r="F24" s="18" t="e">
        <f t="shared" si="2"/>
        <v>#REF!</v>
      </c>
      <c r="G24" s="18" t="e">
        <f t="shared" si="2"/>
        <v>#REF!</v>
      </c>
      <c r="H24" s="18" t="e">
        <f t="shared" si="2"/>
        <v>#REF!</v>
      </c>
      <c r="I24" s="18" t="e">
        <f t="shared" si="2"/>
        <v>#REF!</v>
      </c>
      <c r="J24" s="18" t="e">
        <f t="shared" si="2"/>
        <v>#REF!</v>
      </c>
      <c r="K24" s="18" t="e">
        <f t="shared" si="2"/>
        <v>#REF!</v>
      </c>
      <c r="L24" s="17"/>
      <c r="M24" s="9"/>
    </row>
    <row r="25" spans="1:13" ht="11.25" customHeight="1">
      <c r="B25" s="6"/>
    </row>
    <row r="26" spans="1:13" s="24" customFormat="1" ht="23.25" customHeight="1">
      <c r="A26" s="108" t="s">
        <v>56</v>
      </c>
      <c r="B26" s="108"/>
      <c r="C26" s="108"/>
      <c r="D26" s="108"/>
      <c r="E26" s="108"/>
      <c r="F26" s="108"/>
      <c r="G26" s="109" t="s">
        <v>1</v>
      </c>
      <c r="H26" s="109"/>
      <c r="I26" s="109"/>
      <c r="J26" s="109"/>
      <c r="K26" s="109"/>
      <c r="L26" s="109"/>
    </row>
  </sheetData>
  <autoFilter ref="A7:M23" xr:uid="{00000000-0009-0000-0000-00000B000000}"/>
  <mergeCells count="16">
    <mergeCell ref="I6:I7"/>
    <mergeCell ref="J6:J7"/>
    <mergeCell ref="K6:K7"/>
    <mergeCell ref="L6:L7"/>
    <mergeCell ref="A26:F26"/>
    <mergeCell ref="G26:L26"/>
    <mergeCell ref="A6:A7"/>
    <mergeCell ref="B6:B7"/>
    <mergeCell ref="C6:C7"/>
    <mergeCell ref="D6:D7"/>
    <mergeCell ref="E6:H6"/>
    <mergeCell ref="A1:C1"/>
    <mergeCell ref="H1:L1"/>
    <mergeCell ref="A2:C2"/>
    <mergeCell ref="H2:L2"/>
    <mergeCell ref="A4:L4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2"/>
  <sheetViews>
    <sheetView view="pageBreakPreview" zoomScale="85" zoomScaleNormal="70" zoomScaleSheetLayoutView="85" workbookViewId="0">
      <pane xSplit="4" ySplit="7" topLeftCell="E11" activePane="bottomRight" state="frozen"/>
      <selection activeCell="M19" sqref="M19"/>
      <selection pane="topRight" activeCell="M19" sqref="M19"/>
      <selection pane="bottomLeft" activeCell="M19" sqref="M19"/>
      <selection pane="bottomRight" activeCell="M19" sqref="M19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64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 t="shared" ref="K9:K19" si="0">I9-J9</f>
        <v>#REF!</v>
      </c>
      <c r="L9" s="13"/>
      <c r="M9" s="9"/>
    </row>
    <row r="10" spans="1:13" s="11" customFormat="1" ht="29.25" customHeight="1">
      <c r="A10" s="10">
        <f t="shared" ref="A10:A19" si="1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si="0"/>
        <v>#REF!</v>
      </c>
      <c r="L10" s="13"/>
      <c r="M10" s="9"/>
    </row>
    <row r="11" spans="1:13" s="11" customFormat="1" ht="29.25" customHeight="1">
      <c r="A11" s="10">
        <f t="shared" si="1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0"/>
        <v>#REF!</v>
      </c>
      <c r="L11" s="13"/>
      <c r="M11" s="9"/>
    </row>
    <row r="12" spans="1:13" s="11" customFormat="1" ht="29.25" customHeight="1">
      <c r="A12" s="10">
        <f t="shared" si="1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0"/>
        <v>#REF!</v>
      </c>
      <c r="L12" s="13"/>
      <c r="M12" s="9"/>
    </row>
    <row r="13" spans="1:13" s="11" customFormat="1" ht="29.25" customHeight="1">
      <c r="A13" s="10">
        <f t="shared" si="1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0"/>
        <v>#REF!</v>
      </c>
      <c r="L13" s="13"/>
      <c r="M13" s="9"/>
    </row>
    <row r="14" spans="1:13" s="11" customFormat="1" ht="29.25" customHeight="1">
      <c r="A14" s="10">
        <f t="shared" si="1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0"/>
        <v>#REF!</v>
      </c>
      <c r="L14" s="13"/>
      <c r="M14" s="9"/>
    </row>
    <row r="15" spans="1:13" s="11" customFormat="1" ht="29.25" customHeight="1">
      <c r="A15" s="10">
        <f t="shared" si="1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0"/>
        <v>#REF!</v>
      </c>
      <c r="L15" s="13"/>
      <c r="M15" s="9"/>
    </row>
    <row r="16" spans="1:13" s="11" customFormat="1" ht="29.25" customHeight="1">
      <c r="A16" s="10">
        <f t="shared" si="1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0"/>
        <v>#REF!</v>
      </c>
      <c r="L16" s="13"/>
      <c r="M16" s="9"/>
    </row>
    <row r="17" spans="1:13" s="11" customFormat="1" ht="29.25" customHeight="1">
      <c r="A17" s="10">
        <f t="shared" si="1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0"/>
        <v>#REF!</v>
      </c>
      <c r="L17" s="13"/>
      <c r="M17" s="9"/>
    </row>
    <row r="18" spans="1:13" s="11" customFormat="1" ht="29.25" customHeight="1">
      <c r="A18" s="10">
        <f t="shared" si="1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0"/>
        <v>#REF!</v>
      </c>
      <c r="L18" s="13"/>
      <c r="M18" s="9"/>
    </row>
    <row r="19" spans="1:13" s="11" customFormat="1" ht="29.25" customHeight="1">
      <c r="A19" s="10">
        <f t="shared" si="1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0"/>
        <v>#REF!</v>
      </c>
      <c r="L19" s="13"/>
      <c r="M19" s="9"/>
    </row>
    <row r="20" spans="1:13" s="19" customFormat="1" ht="22.5" customHeight="1">
      <c r="A20" s="16"/>
      <c r="B20" s="25" t="s">
        <v>60</v>
      </c>
      <c r="C20" s="16"/>
      <c r="D20" s="16"/>
      <c r="E20" s="18" t="e">
        <f t="shared" ref="E20:K20" si="2">SUBTOTAL(9,E8:E19)</f>
        <v>#REF!</v>
      </c>
      <c r="F20" s="18" t="e">
        <f t="shared" si="2"/>
        <v>#REF!</v>
      </c>
      <c r="G20" s="18" t="e">
        <f t="shared" si="2"/>
        <v>#REF!</v>
      </c>
      <c r="H20" s="18" t="e">
        <f t="shared" si="2"/>
        <v>#REF!</v>
      </c>
      <c r="I20" s="18" t="e">
        <f t="shared" si="2"/>
        <v>#REF!</v>
      </c>
      <c r="J20" s="18" t="e">
        <f t="shared" si="2"/>
        <v>#REF!</v>
      </c>
      <c r="K20" s="18" t="e">
        <f t="shared" si="2"/>
        <v>#REF!</v>
      </c>
      <c r="L20" s="17"/>
      <c r="M20" s="9"/>
    </row>
    <row r="21" spans="1:13" ht="11.25" customHeight="1">
      <c r="B21" s="6"/>
    </row>
    <row r="22" spans="1:13" s="24" customFormat="1" ht="23.25" customHeight="1">
      <c r="A22" s="108" t="s">
        <v>56</v>
      </c>
      <c r="B22" s="108"/>
      <c r="C22" s="108"/>
      <c r="D22" s="108"/>
      <c r="E22" s="108"/>
      <c r="F22" s="108"/>
      <c r="G22" s="109" t="s">
        <v>1</v>
      </c>
      <c r="H22" s="109"/>
      <c r="I22" s="109"/>
      <c r="J22" s="109"/>
      <c r="K22" s="109"/>
      <c r="L22" s="109"/>
    </row>
  </sheetData>
  <autoFilter ref="A7:M19" xr:uid="{00000000-0009-0000-0000-00000C000000}"/>
  <mergeCells count="16">
    <mergeCell ref="A1:C1"/>
    <mergeCell ref="H1:L1"/>
    <mergeCell ref="A2:C2"/>
    <mergeCell ref="H2:L2"/>
    <mergeCell ref="A4:L4"/>
    <mergeCell ref="I6:I7"/>
    <mergeCell ref="J6:J7"/>
    <mergeCell ref="K6:K7"/>
    <mergeCell ref="L6:L7"/>
    <mergeCell ref="A22:F22"/>
    <mergeCell ref="G22:L22"/>
    <mergeCell ref="A6:A7"/>
    <mergeCell ref="B6:B7"/>
    <mergeCell ref="C6:C7"/>
    <mergeCell ref="D6:D7"/>
    <mergeCell ref="E6:H6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27"/>
  <sheetViews>
    <sheetView view="pageBreakPreview" zoomScale="85" zoomScaleNormal="70" zoomScaleSheetLayoutView="85" workbookViewId="0">
      <pane xSplit="4" ySplit="7" topLeftCell="E14" activePane="bottomRight" state="frozen"/>
      <selection activeCell="L26" sqref="L26"/>
      <selection pane="topRight" activeCell="L26" sqref="L26"/>
      <selection pane="bottomLeft" activeCell="L26" sqref="L26"/>
      <selection pane="bottomRight" activeCell="L26" sqref="L26"/>
    </sheetView>
  </sheetViews>
  <sheetFormatPr defaultColWidth="15" defaultRowHeight="13.2"/>
  <cols>
    <col min="1" max="1" width="6.109375" style="20" customWidth="1"/>
    <col min="2" max="2" width="30" style="23" customWidth="1"/>
    <col min="3" max="4" width="9.109375" style="20" customWidth="1"/>
    <col min="5" max="7" width="17.5546875" style="2" customWidth="1"/>
    <col min="8" max="8" width="18.88671875" style="2" customWidth="1"/>
    <col min="9" max="9" width="19.109375" style="21" customWidth="1"/>
    <col min="10" max="10" width="20.6640625" style="22" customWidth="1"/>
    <col min="11" max="11" width="18.5546875" style="22" customWidth="1"/>
    <col min="12" max="12" width="24.44140625" style="23" customWidth="1"/>
    <col min="13" max="13" width="4.33203125" style="6" bestFit="1" customWidth="1"/>
    <col min="14" max="14" width="16.5546875" style="6" customWidth="1"/>
    <col min="15" max="233" width="9.109375" style="6" customWidth="1"/>
    <col min="234" max="234" width="8" style="6" customWidth="1"/>
    <col min="235" max="235" width="46.5546875" style="6" customWidth="1"/>
    <col min="236" max="237" width="9.109375" style="6" customWidth="1"/>
    <col min="238" max="238" width="16.5546875" style="6" customWidth="1"/>
    <col min="239" max="239" width="15" style="6" customWidth="1"/>
    <col min="240" max="241" width="17" style="6" customWidth="1"/>
    <col min="242" max="242" width="16.88671875" style="6" customWidth="1"/>
    <col min="243" max="243" width="18.33203125" style="6" customWidth="1"/>
    <col min="244" max="255" width="15" style="6"/>
    <col min="256" max="256" width="5.109375" style="6" customWidth="1"/>
    <col min="257" max="257" width="67.33203125" style="6" customWidth="1"/>
    <col min="258" max="259" width="9.109375" style="6" customWidth="1"/>
    <col min="260" max="260" width="17.33203125" style="6" customWidth="1"/>
    <col min="261" max="262" width="15" style="6" customWidth="1"/>
    <col min="263" max="263" width="16.6640625" style="6" customWidth="1"/>
    <col min="264" max="264" width="11.44140625" style="6" customWidth="1"/>
    <col min="265" max="265" width="17.6640625" style="6" customWidth="1"/>
    <col min="266" max="266" width="19.6640625" style="6" customWidth="1"/>
    <col min="267" max="489" width="9.109375" style="6" customWidth="1"/>
    <col min="490" max="490" width="8" style="6" customWidth="1"/>
    <col min="491" max="491" width="46.5546875" style="6" customWidth="1"/>
    <col min="492" max="493" width="9.109375" style="6" customWidth="1"/>
    <col min="494" max="494" width="16.5546875" style="6" customWidth="1"/>
    <col min="495" max="495" width="15" style="6" customWidth="1"/>
    <col min="496" max="497" width="17" style="6" customWidth="1"/>
    <col min="498" max="498" width="16.88671875" style="6" customWidth="1"/>
    <col min="499" max="499" width="18.33203125" style="6" customWidth="1"/>
    <col min="500" max="511" width="15" style="6"/>
    <col min="512" max="512" width="5.109375" style="6" customWidth="1"/>
    <col min="513" max="513" width="67.33203125" style="6" customWidth="1"/>
    <col min="514" max="515" width="9.109375" style="6" customWidth="1"/>
    <col min="516" max="516" width="17.33203125" style="6" customWidth="1"/>
    <col min="517" max="518" width="15" style="6" customWidth="1"/>
    <col min="519" max="519" width="16.6640625" style="6" customWidth="1"/>
    <col min="520" max="520" width="11.44140625" style="6" customWidth="1"/>
    <col min="521" max="521" width="17.6640625" style="6" customWidth="1"/>
    <col min="522" max="522" width="19.6640625" style="6" customWidth="1"/>
    <col min="523" max="745" width="9.109375" style="6" customWidth="1"/>
    <col min="746" max="746" width="8" style="6" customWidth="1"/>
    <col min="747" max="747" width="46.5546875" style="6" customWidth="1"/>
    <col min="748" max="749" width="9.109375" style="6" customWidth="1"/>
    <col min="750" max="750" width="16.5546875" style="6" customWidth="1"/>
    <col min="751" max="751" width="15" style="6" customWidth="1"/>
    <col min="752" max="753" width="17" style="6" customWidth="1"/>
    <col min="754" max="754" width="16.88671875" style="6" customWidth="1"/>
    <col min="755" max="755" width="18.33203125" style="6" customWidth="1"/>
    <col min="756" max="767" width="15" style="6"/>
    <col min="768" max="768" width="5.109375" style="6" customWidth="1"/>
    <col min="769" max="769" width="67.33203125" style="6" customWidth="1"/>
    <col min="770" max="771" width="9.109375" style="6" customWidth="1"/>
    <col min="772" max="772" width="17.33203125" style="6" customWidth="1"/>
    <col min="773" max="774" width="15" style="6" customWidth="1"/>
    <col min="775" max="775" width="16.6640625" style="6" customWidth="1"/>
    <col min="776" max="776" width="11.44140625" style="6" customWidth="1"/>
    <col min="777" max="777" width="17.6640625" style="6" customWidth="1"/>
    <col min="778" max="778" width="19.6640625" style="6" customWidth="1"/>
    <col min="779" max="1001" width="9.109375" style="6" customWidth="1"/>
    <col min="1002" max="1002" width="8" style="6" customWidth="1"/>
    <col min="1003" max="1003" width="46.5546875" style="6" customWidth="1"/>
    <col min="1004" max="1005" width="9.109375" style="6" customWidth="1"/>
    <col min="1006" max="1006" width="16.5546875" style="6" customWidth="1"/>
    <col min="1007" max="1007" width="15" style="6" customWidth="1"/>
    <col min="1008" max="1009" width="17" style="6" customWidth="1"/>
    <col min="1010" max="1010" width="16.88671875" style="6" customWidth="1"/>
    <col min="1011" max="1011" width="18.33203125" style="6" customWidth="1"/>
    <col min="1012" max="1023" width="15" style="6"/>
    <col min="1024" max="1024" width="5.109375" style="6" customWidth="1"/>
    <col min="1025" max="1025" width="67.33203125" style="6" customWidth="1"/>
    <col min="1026" max="1027" width="9.109375" style="6" customWidth="1"/>
    <col min="1028" max="1028" width="17.33203125" style="6" customWidth="1"/>
    <col min="1029" max="1030" width="15" style="6" customWidth="1"/>
    <col min="1031" max="1031" width="16.6640625" style="6" customWidth="1"/>
    <col min="1032" max="1032" width="11.44140625" style="6" customWidth="1"/>
    <col min="1033" max="1033" width="17.6640625" style="6" customWidth="1"/>
    <col min="1034" max="1034" width="19.6640625" style="6" customWidth="1"/>
    <col min="1035" max="1257" width="9.109375" style="6" customWidth="1"/>
    <col min="1258" max="1258" width="8" style="6" customWidth="1"/>
    <col min="1259" max="1259" width="46.5546875" style="6" customWidth="1"/>
    <col min="1260" max="1261" width="9.109375" style="6" customWidth="1"/>
    <col min="1262" max="1262" width="16.5546875" style="6" customWidth="1"/>
    <col min="1263" max="1263" width="15" style="6" customWidth="1"/>
    <col min="1264" max="1265" width="17" style="6" customWidth="1"/>
    <col min="1266" max="1266" width="16.88671875" style="6" customWidth="1"/>
    <col min="1267" max="1267" width="18.33203125" style="6" customWidth="1"/>
    <col min="1268" max="1279" width="15" style="6"/>
    <col min="1280" max="1280" width="5.109375" style="6" customWidth="1"/>
    <col min="1281" max="1281" width="67.33203125" style="6" customWidth="1"/>
    <col min="1282" max="1283" width="9.109375" style="6" customWidth="1"/>
    <col min="1284" max="1284" width="17.33203125" style="6" customWidth="1"/>
    <col min="1285" max="1286" width="15" style="6" customWidth="1"/>
    <col min="1287" max="1287" width="16.6640625" style="6" customWidth="1"/>
    <col min="1288" max="1288" width="11.44140625" style="6" customWidth="1"/>
    <col min="1289" max="1289" width="17.6640625" style="6" customWidth="1"/>
    <col min="1290" max="1290" width="19.6640625" style="6" customWidth="1"/>
    <col min="1291" max="1513" width="9.109375" style="6" customWidth="1"/>
    <col min="1514" max="1514" width="8" style="6" customWidth="1"/>
    <col min="1515" max="1515" width="46.5546875" style="6" customWidth="1"/>
    <col min="1516" max="1517" width="9.109375" style="6" customWidth="1"/>
    <col min="1518" max="1518" width="16.5546875" style="6" customWidth="1"/>
    <col min="1519" max="1519" width="15" style="6" customWidth="1"/>
    <col min="1520" max="1521" width="17" style="6" customWidth="1"/>
    <col min="1522" max="1522" width="16.88671875" style="6" customWidth="1"/>
    <col min="1523" max="1523" width="18.33203125" style="6" customWidth="1"/>
    <col min="1524" max="1535" width="15" style="6"/>
    <col min="1536" max="1536" width="5.109375" style="6" customWidth="1"/>
    <col min="1537" max="1537" width="67.33203125" style="6" customWidth="1"/>
    <col min="1538" max="1539" width="9.109375" style="6" customWidth="1"/>
    <col min="1540" max="1540" width="17.33203125" style="6" customWidth="1"/>
    <col min="1541" max="1542" width="15" style="6" customWidth="1"/>
    <col min="1543" max="1543" width="16.6640625" style="6" customWidth="1"/>
    <col min="1544" max="1544" width="11.44140625" style="6" customWidth="1"/>
    <col min="1545" max="1545" width="17.6640625" style="6" customWidth="1"/>
    <col min="1546" max="1546" width="19.6640625" style="6" customWidth="1"/>
    <col min="1547" max="1769" width="9.109375" style="6" customWidth="1"/>
    <col min="1770" max="1770" width="8" style="6" customWidth="1"/>
    <col min="1771" max="1771" width="46.5546875" style="6" customWidth="1"/>
    <col min="1772" max="1773" width="9.109375" style="6" customWidth="1"/>
    <col min="1774" max="1774" width="16.5546875" style="6" customWidth="1"/>
    <col min="1775" max="1775" width="15" style="6" customWidth="1"/>
    <col min="1776" max="1777" width="17" style="6" customWidth="1"/>
    <col min="1778" max="1778" width="16.88671875" style="6" customWidth="1"/>
    <col min="1779" max="1779" width="18.33203125" style="6" customWidth="1"/>
    <col min="1780" max="1791" width="15" style="6"/>
    <col min="1792" max="1792" width="5.109375" style="6" customWidth="1"/>
    <col min="1793" max="1793" width="67.33203125" style="6" customWidth="1"/>
    <col min="1794" max="1795" width="9.109375" style="6" customWidth="1"/>
    <col min="1796" max="1796" width="17.33203125" style="6" customWidth="1"/>
    <col min="1797" max="1798" width="15" style="6" customWidth="1"/>
    <col min="1799" max="1799" width="16.6640625" style="6" customWidth="1"/>
    <col min="1800" max="1800" width="11.44140625" style="6" customWidth="1"/>
    <col min="1801" max="1801" width="17.6640625" style="6" customWidth="1"/>
    <col min="1802" max="1802" width="19.6640625" style="6" customWidth="1"/>
    <col min="1803" max="2025" width="9.109375" style="6" customWidth="1"/>
    <col min="2026" max="2026" width="8" style="6" customWidth="1"/>
    <col min="2027" max="2027" width="46.5546875" style="6" customWidth="1"/>
    <col min="2028" max="2029" width="9.109375" style="6" customWidth="1"/>
    <col min="2030" max="2030" width="16.5546875" style="6" customWidth="1"/>
    <col min="2031" max="2031" width="15" style="6" customWidth="1"/>
    <col min="2032" max="2033" width="17" style="6" customWidth="1"/>
    <col min="2034" max="2034" width="16.88671875" style="6" customWidth="1"/>
    <col min="2035" max="2035" width="18.33203125" style="6" customWidth="1"/>
    <col min="2036" max="2047" width="15" style="6"/>
    <col min="2048" max="2048" width="5.109375" style="6" customWidth="1"/>
    <col min="2049" max="2049" width="67.33203125" style="6" customWidth="1"/>
    <col min="2050" max="2051" width="9.109375" style="6" customWidth="1"/>
    <col min="2052" max="2052" width="17.33203125" style="6" customWidth="1"/>
    <col min="2053" max="2054" width="15" style="6" customWidth="1"/>
    <col min="2055" max="2055" width="16.6640625" style="6" customWidth="1"/>
    <col min="2056" max="2056" width="11.44140625" style="6" customWidth="1"/>
    <col min="2057" max="2057" width="17.6640625" style="6" customWidth="1"/>
    <col min="2058" max="2058" width="19.6640625" style="6" customWidth="1"/>
    <col min="2059" max="2281" width="9.109375" style="6" customWidth="1"/>
    <col min="2282" max="2282" width="8" style="6" customWidth="1"/>
    <col min="2283" max="2283" width="46.5546875" style="6" customWidth="1"/>
    <col min="2284" max="2285" width="9.109375" style="6" customWidth="1"/>
    <col min="2286" max="2286" width="16.5546875" style="6" customWidth="1"/>
    <col min="2287" max="2287" width="15" style="6" customWidth="1"/>
    <col min="2288" max="2289" width="17" style="6" customWidth="1"/>
    <col min="2290" max="2290" width="16.88671875" style="6" customWidth="1"/>
    <col min="2291" max="2291" width="18.33203125" style="6" customWidth="1"/>
    <col min="2292" max="2303" width="15" style="6"/>
    <col min="2304" max="2304" width="5.109375" style="6" customWidth="1"/>
    <col min="2305" max="2305" width="67.33203125" style="6" customWidth="1"/>
    <col min="2306" max="2307" width="9.109375" style="6" customWidth="1"/>
    <col min="2308" max="2308" width="17.33203125" style="6" customWidth="1"/>
    <col min="2309" max="2310" width="15" style="6" customWidth="1"/>
    <col min="2311" max="2311" width="16.6640625" style="6" customWidth="1"/>
    <col min="2312" max="2312" width="11.44140625" style="6" customWidth="1"/>
    <col min="2313" max="2313" width="17.6640625" style="6" customWidth="1"/>
    <col min="2314" max="2314" width="19.6640625" style="6" customWidth="1"/>
    <col min="2315" max="2537" width="9.109375" style="6" customWidth="1"/>
    <col min="2538" max="2538" width="8" style="6" customWidth="1"/>
    <col min="2539" max="2539" width="46.5546875" style="6" customWidth="1"/>
    <col min="2540" max="2541" width="9.109375" style="6" customWidth="1"/>
    <col min="2542" max="2542" width="16.5546875" style="6" customWidth="1"/>
    <col min="2543" max="2543" width="15" style="6" customWidth="1"/>
    <col min="2544" max="2545" width="17" style="6" customWidth="1"/>
    <col min="2546" max="2546" width="16.88671875" style="6" customWidth="1"/>
    <col min="2547" max="2547" width="18.33203125" style="6" customWidth="1"/>
    <col min="2548" max="2559" width="15" style="6"/>
    <col min="2560" max="2560" width="5.109375" style="6" customWidth="1"/>
    <col min="2561" max="2561" width="67.33203125" style="6" customWidth="1"/>
    <col min="2562" max="2563" width="9.109375" style="6" customWidth="1"/>
    <col min="2564" max="2564" width="17.33203125" style="6" customWidth="1"/>
    <col min="2565" max="2566" width="15" style="6" customWidth="1"/>
    <col min="2567" max="2567" width="16.6640625" style="6" customWidth="1"/>
    <col min="2568" max="2568" width="11.44140625" style="6" customWidth="1"/>
    <col min="2569" max="2569" width="17.6640625" style="6" customWidth="1"/>
    <col min="2570" max="2570" width="19.6640625" style="6" customWidth="1"/>
    <col min="2571" max="2793" width="9.109375" style="6" customWidth="1"/>
    <col min="2794" max="2794" width="8" style="6" customWidth="1"/>
    <col min="2795" max="2795" width="46.5546875" style="6" customWidth="1"/>
    <col min="2796" max="2797" width="9.109375" style="6" customWidth="1"/>
    <col min="2798" max="2798" width="16.5546875" style="6" customWidth="1"/>
    <col min="2799" max="2799" width="15" style="6" customWidth="1"/>
    <col min="2800" max="2801" width="17" style="6" customWidth="1"/>
    <col min="2802" max="2802" width="16.88671875" style="6" customWidth="1"/>
    <col min="2803" max="2803" width="18.33203125" style="6" customWidth="1"/>
    <col min="2804" max="2815" width="15" style="6"/>
    <col min="2816" max="2816" width="5.109375" style="6" customWidth="1"/>
    <col min="2817" max="2817" width="67.33203125" style="6" customWidth="1"/>
    <col min="2818" max="2819" width="9.109375" style="6" customWidth="1"/>
    <col min="2820" max="2820" width="17.33203125" style="6" customWidth="1"/>
    <col min="2821" max="2822" width="15" style="6" customWidth="1"/>
    <col min="2823" max="2823" width="16.6640625" style="6" customWidth="1"/>
    <col min="2824" max="2824" width="11.44140625" style="6" customWidth="1"/>
    <col min="2825" max="2825" width="17.6640625" style="6" customWidth="1"/>
    <col min="2826" max="2826" width="19.6640625" style="6" customWidth="1"/>
    <col min="2827" max="3049" width="9.109375" style="6" customWidth="1"/>
    <col min="3050" max="3050" width="8" style="6" customWidth="1"/>
    <col min="3051" max="3051" width="46.5546875" style="6" customWidth="1"/>
    <col min="3052" max="3053" width="9.109375" style="6" customWidth="1"/>
    <col min="3054" max="3054" width="16.5546875" style="6" customWidth="1"/>
    <col min="3055" max="3055" width="15" style="6" customWidth="1"/>
    <col min="3056" max="3057" width="17" style="6" customWidth="1"/>
    <col min="3058" max="3058" width="16.88671875" style="6" customWidth="1"/>
    <col min="3059" max="3059" width="18.33203125" style="6" customWidth="1"/>
    <col min="3060" max="3071" width="15" style="6"/>
    <col min="3072" max="3072" width="5.109375" style="6" customWidth="1"/>
    <col min="3073" max="3073" width="67.33203125" style="6" customWidth="1"/>
    <col min="3074" max="3075" width="9.109375" style="6" customWidth="1"/>
    <col min="3076" max="3076" width="17.33203125" style="6" customWidth="1"/>
    <col min="3077" max="3078" width="15" style="6" customWidth="1"/>
    <col min="3079" max="3079" width="16.6640625" style="6" customWidth="1"/>
    <col min="3080" max="3080" width="11.44140625" style="6" customWidth="1"/>
    <col min="3081" max="3081" width="17.6640625" style="6" customWidth="1"/>
    <col min="3082" max="3082" width="19.6640625" style="6" customWidth="1"/>
    <col min="3083" max="3305" width="9.109375" style="6" customWidth="1"/>
    <col min="3306" max="3306" width="8" style="6" customWidth="1"/>
    <col min="3307" max="3307" width="46.5546875" style="6" customWidth="1"/>
    <col min="3308" max="3309" width="9.109375" style="6" customWidth="1"/>
    <col min="3310" max="3310" width="16.5546875" style="6" customWidth="1"/>
    <col min="3311" max="3311" width="15" style="6" customWidth="1"/>
    <col min="3312" max="3313" width="17" style="6" customWidth="1"/>
    <col min="3314" max="3314" width="16.88671875" style="6" customWidth="1"/>
    <col min="3315" max="3315" width="18.33203125" style="6" customWidth="1"/>
    <col min="3316" max="3327" width="15" style="6"/>
    <col min="3328" max="3328" width="5.109375" style="6" customWidth="1"/>
    <col min="3329" max="3329" width="67.33203125" style="6" customWidth="1"/>
    <col min="3330" max="3331" width="9.109375" style="6" customWidth="1"/>
    <col min="3332" max="3332" width="17.33203125" style="6" customWidth="1"/>
    <col min="3333" max="3334" width="15" style="6" customWidth="1"/>
    <col min="3335" max="3335" width="16.6640625" style="6" customWidth="1"/>
    <col min="3336" max="3336" width="11.44140625" style="6" customWidth="1"/>
    <col min="3337" max="3337" width="17.6640625" style="6" customWidth="1"/>
    <col min="3338" max="3338" width="19.6640625" style="6" customWidth="1"/>
    <col min="3339" max="3561" width="9.109375" style="6" customWidth="1"/>
    <col min="3562" max="3562" width="8" style="6" customWidth="1"/>
    <col min="3563" max="3563" width="46.5546875" style="6" customWidth="1"/>
    <col min="3564" max="3565" width="9.109375" style="6" customWidth="1"/>
    <col min="3566" max="3566" width="16.5546875" style="6" customWidth="1"/>
    <col min="3567" max="3567" width="15" style="6" customWidth="1"/>
    <col min="3568" max="3569" width="17" style="6" customWidth="1"/>
    <col min="3570" max="3570" width="16.88671875" style="6" customWidth="1"/>
    <col min="3571" max="3571" width="18.33203125" style="6" customWidth="1"/>
    <col min="3572" max="3583" width="15" style="6"/>
    <col min="3584" max="3584" width="5.109375" style="6" customWidth="1"/>
    <col min="3585" max="3585" width="67.33203125" style="6" customWidth="1"/>
    <col min="3586" max="3587" width="9.109375" style="6" customWidth="1"/>
    <col min="3588" max="3588" width="17.33203125" style="6" customWidth="1"/>
    <col min="3589" max="3590" width="15" style="6" customWidth="1"/>
    <col min="3591" max="3591" width="16.6640625" style="6" customWidth="1"/>
    <col min="3592" max="3592" width="11.44140625" style="6" customWidth="1"/>
    <col min="3593" max="3593" width="17.6640625" style="6" customWidth="1"/>
    <col min="3594" max="3594" width="19.6640625" style="6" customWidth="1"/>
    <col min="3595" max="3817" width="9.109375" style="6" customWidth="1"/>
    <col min="3818" max="3818" width="8" style="6" customWidth="1"/>
    <col min="3819" max="3819" width="46.5546875" style="6" customWidth="1"/>
    <col min="3820" max="3821" width="9.109375" style="6" customWidth="1"/>
    <col min="3822" max="3822" width="16.5546875" style="6" customWidth="1"/>
    <col min="3823" max="3823" width="15" style="6" customWidth="1"/>
    <col min="3824" max="3825" width="17" style="6" customWidth="1"/>
    <col min="3826" max="3826" width="16.88671875" style="6" customWidth="1"/>
    <col min="3827" max="3827" width="18.33203125" style="6" customWidth="1"/>
    <col min="3828" max="3839" width="15" style="6"/>
    <col min="3840" max="3840" width="5.109375" style="6" customWidth="1"/>
    <col min="3841" max="3841" width="67.33203125" style="6" customWidth="1"/>
    <col min="3842" max="3843" width="9.109375" style="6" customWidth="1"/>
    <col min="3844" max="3844" width="17.33203125" style="6" customWidth="1"/>
    <col min="3845" max="3846" width="15" style="6" customWidth="1"/>
    <col min="3847" max="3847" width="16.6640625" style="6" customWidth="1"/>
    <col min="3848" max="3848" width="11.44140625" style="6" customWidth="1"/>
    <col min="3849" max="3849" width="17.6640625" style="6" customWidth="1"/>
    <col min="3850" max="3850" width="19.6640625" style="6" customWidth="1"/>
    <col min="3851" max="4073" width="9.109375" style="6" customWidth="1"/>
    <col min="4074" max="4074" width="8" style="6" customWidth="1"/>
    <col min="4075" max="4075" width="46.5546875" style="6" customWidth="1"/>
    <col min="4076" max="4077" width="9.109375" style="6" customWidth="1"/>
    <col min="4078" max="4078" width="16.5546875" style="6" customWidth="1"/>
    <col min="4079" max="4079" width="15" style="6" customWidth="1"/>
    <col min="4080" max="4081" width="17" style="6" customWidth="1"/>
    <col min="4082" max="4082" width="16.88671875" style="6" customWidth="1"/>
    <col min="4083" max="4083" width="18.33203125" style="6" customWidth="1"/>
    <col min="4084" max="4095" width="15" style="6"/>
    <col min="4096" max="4096" width="5.109375" style="6" customWidth="1"/>
    <col min="4097" max="4097" width="67.33203125" style="6" customWidth="1"/>
    <col min="4098" max="4099" width="9.109375" style="6" customWidth="1"/>
    <col min="4100" max="4100" width="17.33203125" style="6" customWidth="1"/>
    <col min="4101" max="4102" width="15" style="6" customWidth="1"/>
    <col min="4103" max="4103" width="16.6640625" style="6" customWidth="1"/>
    <col min="4104" max="4104" width="11.44140625" style="6" customWidth="1"/>
    <col min="4105" max="4105" width="17.6640625" style="6" customWidth="1"/>
    <col min="4106" max="4106" width="19.6640625" style="6" customWidth="1"/>
    <col min="4107" max="4329" width="9.109375" style="6" customWidth="1"/>
    <col min="4330" max="4330" width="8" style="6" customWidth="1"/>
    <col min="4331" max="4331" width="46.5546875" style="6" customWidth="1"/>
    <col min="4332" max="4333" width="9.109375" style="6" customWidth="1"/>
    <col min="4334" max="4334" width="16.5546875" style="6" customWidth="1"/>
    <col min="4335" max="4335" width="15" style="6" customWidth="1"/>
    <col min="4336" max="4337" width="17" style="6" customWidth="1"/>
    <col min="4338" max="4338" width="16.88671875" style="6" customWidth="1"/>
    <col min="4339" max="4339" width="18.33203125" style="6" customWidth="1"/>
    <col min="4340" max="4351" width="15" style="6"/>
    <col min="4352" max="4352" width="5.109375" style="6" customWidth="1"/>
    <col min="4353" max="4353" width="67.33203125" style="6" customWidth="1"/>
    <col min="4354" max="4355" width="9.109375" style="6" customWidth="1"/>
    <col min="4356" max="4356" width="17.33203125" style="6" customWidth="1"/>
    <col min="4357" max="4358" width="15" style="6" customWidth="1"/>
    <col min="4359" max="4359" width="16.6640625" style="6" customWidth="1"/>
    <col min="4360" max="4360" width="11.44140625" style="6" customWidth="1"/>
    <col min="4361" max="4361" width="17.6640625" style="6" customWidth="1"/>
    <col min="4362" max="4362" width="19.6640625" style="6" customWidth="1"/>
    <col min="4363" max="4585" width="9.109375" style="6" customWidth="1"/>
    <col min="4586" max="4586" width="8" style="6" customWidth="1"/>
    <col min="4587" max="4587" width="46.5546875" style="6" customWidth="1"/>
    <col min="4588" max="4589" width="9.109375" style="6" customWidth="1"/>
    <col min="4590" max="4590" width="16.5546875" style="6" customWidth="1"/>
    <col min="4591" max="4591" width="15" style="6" customWidth="1"/>
    <col min="4592" max="4593" width="17" style="6" customWidth="1"/>
    <col min="4594" max="4594" width="16.88671875" style="6" customWidth="1"/>
    <col min="4595" max="4595" width="18.33203125" style="6" customWidth="1"/>
    <col min="4596" max="4607" width="15" style="6"/>
    <col min="4608" max="4608" width="5.109375" style="6" customWidth="1"/>
    <col min="4609" max="4609" width="67.33203125" style="6" customWidth="1"/>
    <col min="4610" max="4611" width="9.109375" style="6" customWidth="1"/>
    <col min="4612" max="4612" width="17.33203125" style="6" customWidth="1"/>
    <col min="4613" max="4614" width="15" style="6" customWidth="1"/>
    <col min="4615" max="4615" width="16.6640625" style="6" customWidth="1"/>
    <col min="4616" max="4616" width="11.44140625" style="6" customWidth="1"/>
    <col min="4617" max="4617" width="17.6640625" style="6" customWidth="1"/>
    <col min="4618" max="4618" width="19.6640625" style="6" customWidth="1"/>
    <col min="4619" max="4841" width="9.109375" style="6" customWidth="1"/>
    <col min="4842" max="4842" width="8" style="6" customWidth="1"/>
    <col min="4843" max="4843" width="46.5546875" style="6" customWidth="1"/>
    <col min="4844" max="4845" width="9.109375" style="6" customWidth="1"/>
    <col min="4846" max="4846" width="16.5546875" style="6" customWidth="1"/>
    <col min="4847" max="4847" width="15" style="6" customWidth="1"/>
    <col min="4848" max="4849" width="17" style="6" customWidth="1"/>
    <col min="4850" max="4850" width="16.88671875" style="6" customWidth="1"/>
    <col min="4851" max="4851" width="18.33203125" style="6" customWidth="1"/>
    <col min="4852" max="4863" width="15" style="6"/>
    <col min="4864" max="4864" width="5.109375" style="6" customWidth="1"/>
    <col min="4865" max="4865" width="67.33203125" style="6" customWidth="1"/>
    <col min="4866" max="4867" width="9.109375" style="6" customWidth="1"/>
    <col min="4868" max="4868" width="17.33203125" style="6" customWidth="1"/>
    <col min="4869" max="4870" width="15" style="6" customWidth="1"/>
    <col min="4871" max="4871" width="16.6640625" style="6" customWidth="1"/>
    <col min="4872" max="4872" width="11.44140625" style="6" customWidth="1"/>
    <col min="4873" max="4873" width="17.6640625" style="6" customWidth="1"/>
    <col min="4874" max="4874" width="19.6640625" style="6" customWidth="1"/>
    <col min="4875" max="5097" width="9.109375" style="6" customWidth="1"/>
    <col min="5098" max="5098" width="8" style="6" customWidth="1"/>
    <col min="5099" max="5099" width="46.5546875" style="6" customWidth="1"/>
    <col min="5100" max="5101" width="9.109375" style="6" customWidth="1"/>
    <col min="5102" max="5102" width="16.5546875" style="6" customWidth="1"/>
    <col min="5103" max="5103" width="15" style="6" customWidth="1"/>
    <col min="5104" max="5105" width="17" style="6" customWidth="1"/>
    <col min="5106" max="5106" width="16.88671875" style="6" customWidth="1"/>
    <col min="5107" max="5107" width="18.33203125" style="6" customWidth="1"/>
    <col min="5108" max="5119" width="15" style="6"/>
    <col min="5120" max="5120" width="5.109375" style="6" customWidth="1"/>
    <col min="5121" max="5121" width="67.33203125" style="6" customWidth="1"/>
    <col min="5122" max="5123" width="9.109375" style="6" customWidth="1"/>
    <col min="5124" max="5124" width="17.33203125" style="6" customWidth="1"/>
    <col min="5125" max="5126" width="15" style="6" customWidth="1"/>
    <col min="5127" max="5127" width="16.6640625" style="6" customWidth="1"/>
    <col min="5128" max="5128" width="11.44140625" style="6" customWidth="1"/>
    <col min="5129" max="5129" width="17.6640625" style="6" customWidth="1"/>
    <col min="5130" max="5130" width="19.6640625" style="6" customWidth="1"/>
    <col min="5131" max="5353" width="9.109375" style="6" customWidth="1"/>
    <col min="5354" max="5354" width="8" style="6" customWidth="1"/>
    <col min="5355" max="5355" width="46.5546875" style="6" customWidth="1"/>
    <col min="5356" max="5357" width="9.109375" style="6" customWidth="1"/>
    <col min="5358" max="5358" width="16.5546875" style="6" customWidth="1"/>
    <col min="5359" max="5359" width="15" style="6" customWidth="1"/>
    <col min="5360" max="5361" width="17" style="6" customWidth="1"/>
    <col min="5362" max="5362" width="16.88671875" style="6" customWidth="1"/>
    <col min="5363" max="5363" width="18.33203125" style="6" customWidth="1"/>
    <col min="5364" max="5375" width="15" style="6"/>
    <col min="5376" max="5376" width="5.109375" style="6" customWidth="1"/>
    <col min="5377" max="5377" width="67.33203125" style="6" customWidth="1"/>
    <col min="5378" max="5379" width="9.109375" style="6" customWidth="1"/>
    <col min="5380" max="5380" width="17.33203125" style="6" customWidth="1"/>
    <col min="5381" max="5382" width="15" style="6" customWidth="1"/>
    <col min="5383" max="5383" width="16.6640625" style="6" customWidth="1"/>
    <col min="5384" max="5384" width="11.44140625" style="6" customWidth="1"/>
    <col min="5385" max="5385" width="17.6640625" style="6" customWidth="1"/>
    <col min="5386" max="5386" width="19.6640625" style="6" customWidth="1"/>
    <col min="5387" max="5609" width="9.109375" style="6" customWidth="1"/>
    <col min="5610" max="5610" width="8" style="6" customWidth="1"/>
    <col min="5611" max="5611" width="46.5546875" style="6" customWidth="1"/>
    <col min="5612" max="5613" width="9.109375" style="6" customWidth="1"/>
    <col min="5614" max="5614" width="16.5546875" style="6" customWidth="1"/>
    <col min="5615" max="5615" width="15" style="6" customWidth="1"/>
    <col min="5616" max="5617" width="17" style="6" customWidth="1"/>
    <col min="5618" max="5618" width="16.88671875" style="6" customWidth="1"/>
    <col min="5619" max="5619" width="18.33203125" style="6" customWidth="1"/>
    <col min="5620" max="5631" width="15" style="6"/>
    <col min="5632" max="5632" width="5.109375" style="6" customWidth="1"/>
    <col min="5633" max="5633" width="67.33203125" style="6" customWidth="1"/>
    <col min="5634" max="5635" width="9.109375" style="6" customWidth="1"/>
    <col min="5636" max="5636" width="17.33203125" style="6" customWidth="1"/>
    <col min="5637" max="5638" width="15" style="6" customWidth="1"/>
    <col min="5639" max="5639" width="16.6640625" style="6" customWidth="1"/>
    <col min="5640" max="5640" width="11.44140625" style="6" customWidth="1"/>
    <col min="5641" max="5641" width="17.6640625" style="6" customWidth="1"/>
    <col min="5642" max="5642" width="19.6640625" style="6" customWidth="1"/>
    <col min="5643" max="5865" width="9.109375" style="6" customWidth="1"/>
    <col min="5866" max="5866" width="8" style="6" customWidth="1"/>
    <col min="5867" max="5867" width="46.5546875" style="6" customWidth="1"/>
    <col min="5868" max="5869" width="9.109375" style="6" customWidth="1"/>
    <col min="5870" max="5870" width="16.5546875" style="6" customWidth="1"/>
    <col min="5871" max="5871" width="15" style="6" customWidth="1"/>
    <col min="5872" max="5873" width="17" style="6" customWidth="1"/>
    <col min="5874" max="5874" width="16.88671875" style="6" customWidth="1"/>
    <col min="5875" max="5875" width="18.33203125" style="6" customWidth="1"/>
    <col min="5876" max="5887" width="15" style="6"/>
    <col min="5888" max="5888" width="5.109375" style="6" customWidth="1"/>
    <col min="5889" max="5889" width="67.33203125" style="6" customWidth="1"/>
    <col min="5890" max="5891" width="9.109375" style="6" customWidth="1"/>
    <col min="5892" max="5892" width="17.33203125" style="6" customWidth="1"/>
    <col min="5893" max="5894" width="15" style="6" customWidth="1"/>
    <col min="5895" max="5895" width="16.6640625" style="6" customWidth="1"/>
    <col min="5896" max="5896" width="11.44140625" style="6" customWidth="1"/>
    <col min="5897" max="5897" width="17.6640625" style="6" customWidth="1"/>
    <col min="5898" max="5898" width="19.6640625" style="6" customWidth="1"/>
    <col min="5899" max="6121" width="9.109375" style="6" customWidth="1"/>
    <col min="6122" max="6122" width="8" style="6" customWidth="1"/>
    <col min="6123" max="6123" width="46.5546875" style="6" customWidth="1"/>
    <col min="6124" max="6125" width="9.109375" style="6" customWidth="1"/>
    <col min="6126" max="6126" width="16.5546875" style="6" customWidth="1"/>
    <col min="6127" max="6127" width="15" style="6" customWidth="1"/>
    <col min="6128" max="6129" width="17" style="6" customWidth="1"/>
    <col min="6130" max="6130" width="16.88671875" style="6" customWidth="1"/>
    <col min="6131" max="6131" width="18.33203125" style="6" customWidth="1"/>
    <col min="6132" max="6143" width="15" style="6"/>
    <col min="6144" max="6144" width="5.109375" style="6" customWidth="1"/>
    <col min="6145" max="6145" width="67.33203125" style="6" customWidth="1"/>
    <col min="6146" max="6147" width="9.109375" style="6" customWidth="1"/>
    <col min="6148" max="6148" width="17.33203125" style="6" customWidth="1"/>
    <col min="6149" max="6150" width="15" style="6" customWidth="1"/>
    <col min="6151" max="6151" width="16.6640625" style="6" customWidth="1"/>
    <col min="6152" max="6152" width="11.44140625" style="6" customWidth="1"/>
    <col min="6153" max="6153" width="17.6640625" style="6" customWidth="1"/>
    <col min="6154" max="6154" width="19.6640625" style="6" customWidth="1"/>
    <col min="6155" max="6377" width="9.109375" style="6" customWidth="1"/>
    <col min="6378" max="6378" width="8" style="6" customWidth="1"/>
    <col min="6379" max="6379" width="46.5546875" style="6" customWidth="1"/>
    <col min="6380" max="6381" width="9.109375" style="6" customWidth="1"/>
    <col min="6382" max="6382" width="16.5546875" style="6" customWidth="1"/>
    <col min="6383" max="6383" width="15" style="6" customWidth="1"/>
    <col min="6384" max="6385" width="17" style="6" customWidth="1"/>
    <col min="6386" max="6386" width="16.88671875" style="6" customWidth="1"/>
    <col min="6387" max="6387" width="18.33203125" style="6" customWidth="1"/>
    <col min="6388" max="6399" width="15" style="6"/>
    <col min="6400" max="6400" width="5.109375" style="6" customWidth="1"/>
    <col min="6401" max="6401" width="67.33203125" style="6" customWidth="1"/>
    <col min="6402" max="6403" width="9.109375" style="6" customWidth="1"/>
    <col min="6404" max="6404" width="17.33203125" style="6" customWidth="1"/>
    <col min="6405" max="6406" width="15" style="6" customWidth="1"/>
    <col min="6407" max="6407" width="16.6640625" style="6" customWidth="1"/>
    <col min="6408" max="6408" width="11.44140625" style="6" customWidth="1"/>
    <col min="6409" max="6409" width="17.6640625" style="6" customWidth="1"/>
    <col min="6410" max="6410" width="19.6640625" style="6" customWidth="1"/>
    <col min="6411" max="6633" width="9.109375" style="6" customWidth="1"/>
    <col min="6634" max="6634" width="8" style="6" customWidth="1"/>
    <col min="6635" max="6635" width="46.5546875" style="6" customWidth="1"/>
    <col min="6636" max="6637" width="9.109375" style="6" customWidth="1"/>
    <col min="6638" max="6638" width="16.5546875" style="6" customWidth="1"/>
    <col min="6639" max="6639" width="15" style="6" customWidth="1"/>
    <col min="6640" max="6641" width="17" style="6" customWidth="1"/>
    <col min="6642" max="6642" width="16.88671875" style="6" customWidth="1"/>
    <col min="6643" max="6643" width="18.33203125" style="6" customWidth="1"/>
    <col min="6644" max="6655" width="15" style="6"/>
    <col min="6656" max="6656" width="5.109375" style="6" customWidth="1"/>
    <col min="6657" max="6657" width="67.33203125" style="6" customWidth="1"/>
    <col min="6658" max="6659" width="9.109375" style="6" customWidth="1"/>
    <col min="6660" max="6660" width="17.33203125" style="6" customWidth="1"/>
    <col min="6661" max="6662" width="15" style="6" customWidth="1"/>
    <col min="6663" max="6663" width="16.6640625" style="6" customWidth="1"/>
    <col min="6664" max="6664" width="11.44140625" style="6" customWidth="1"/>
    <col min="6665" max="6665" width="17.6640625" style="6" customWidth="1"/>
    <col min="6666" max="6666" width="19.6640625" style="6" customWidth="1"/>
    <col min="6667" max="6889" width="9.109375" style="6" customWidth="1"/>
    <col min="6890" max="6890" width="8" style="6" customWidth="1"/>
    <col min="6891" max="6891" width="46.5546875" style="6" customWidth="1"/>
    <col min="6892" max="6893" width="9.109375" style="6" customWidth="1"/>
    <col min="6894" max="6894" width="16.5546875" style="6" customWidth="1"/>
    <col min="6895" max="6895" width="15" style="6" customWidth="1"/>
    <col min="6896" max="6897" width="17" style="6" customWidth="1"/>
    <col min="6898" max="6898" width="16.88671875" style="6" customWidth="1"/>
    <col min="6899" max="6899" width="18.33203125" style="6" customWidth="1"/>
    <col min="6900" max="6911" width="15" style="6"/>
    <col min="6912" max="6912" width="5.109375" style="6" customWidth="1"/>
    <col min="6913" max="6913" width="67.33203125" style="6" customWidth="1"/>
    <col min="6914" max="6915" width="9.109375" style="6" customWidth="1"/>
    <col min="6916" max="6916" width="17.33203125" style="6" customWidth="1"/>
    <col min="6917" max="6918" width="15" style="6" customWidth="1"/>
    <col min="6919" max="6919" width="16.6640625" style="6" customWidth="1"/>
    <col min="6920" max="6920" width="11.44140625" style="6" customWidth="1"/>
    <col min="6921" max="6921" width="17.6640625" style="6" customWidth="1"/>
    <col min="6922" max="6922" width="19.6640625" style="6" customWidth="1"/>
    <col min="6923" max="7145" width="9.109375" style="6" customWidth="1"/>
    <col min="7146" max="7146" width="8" style="6" customWidth="1"/>
    <col min="7147" max="7147" width="46.5546875" style="6" customWidth="1"/>
    <col min="7148" max="7149" width="9.109375" style="6" customWidth="1"/>
    <col min="7150" max="7150" width="16.5546875" style="6" customWidth="1"/>
    <col min="7151" max="7151" width="15" style="6" customWidth="1"/>
    <col min="7152" max="7153" width="17" style="6" customWidth="1"/>
    <col min="7154" max="7154" width="16.88671875" style="6" customWidth="1"/>
    <col min="7155" max="7155" width="18.33203125" style="6" customWidth="1"/>
    <col min="7156" max="7167" width="15" style="6"/>
    <col min="7168" max="7168" width="5.109375" style="6" customWidth="1"/>
    <col min="7169" max="7169" width="67.33203125" style="6" customWidth="1"/>
    <col min="7170" max="7171" width="9.109375" style="6" customWidth="1"/>
    <col min="7172" max="7172" width="17.33203125" style="6" customWidth="1"/>
    <col min="7173" max="7174" width="15" style="6" customWidth="1"/>
    <col min="7175" max="7175" width="16.6640625" style="6" customWidth="1"/>
    <col min="7176" max="7176" width="11.44140625" style="6" customWidth="1"/>
    <col min="7177" max="7177" width="17.6640625" style="6" customWidth="1"/>
    <col min="7178" max="7178" width="19.6640625" style="6" customWidth="1"/>
    <col min="7179" max="7401" width="9.109375" style="6" customWidth="1"/>
    <col min="7402" max="7402" width="8" style="6" customWidth="1"/>
    <col min="7403" max="7403" width="46.5546875" style="6" customWidth="1"/>
    <col min="7404" max="7405" width="9.109375" style="6" customWidth="1"/>
    <col min="7406" max="7406" width="16.5546875" style="6" customWidth="1"/>
    <col min="7407" max="7407" width="15" style="6" customWidth="1"/>
    <col min="7408" max="7409" width="17" style="6" customWidth="1"/>
    <col min="7410" max="7410" width="16.88671875" style="6" customWidth="1"/>
    <col min="7411" max="7411" width="18.33203125" style="6" customWidth="1"/>
    <col min="7412" max="7423" width="15" style="6"/>
    <col min="7424" max="7424" width="5.109375" style="6" customWidth="1"/>
    <col min="7425" max="7425" width="67.33203125" style="6" customWidth="1"/>
    <col min="7426" max="7427" width="9.109375" style="6" customWidth="1"/>
    <col min="7428" max="7428" width="17.33203125" style="6" customWidth="1"/>
    <col min="7429" max="7430" width="15" style="6" customWidth="1"/>
    <col min="7431" max="7431" width="16.6640625" style="6" customWidth="1"/>
    <col min="7432" max="7432" width="11.44140625" style="6" customWidth="1"/>
    <col min="7433" max="7433" width="17.6640625" style="6" customWidth="1"/>
    <col min="7434" max="7434" width="19.6640625" style="6" customWidth="1"/>
    <col min="7435" max="7657" width="9.109375" style="6" customWidth="1"/>
    <col min="7658" max="7658" width="8" style="6" customWidth="1"/>
    <col min="7659" max="7659" width="46.5546875" style="6" customWidth="1"/>
    <col min="7660" max="7661" width="9.109375" style="6" customWidth="1"/>
    <col min="7662" max="7662" width="16.5546875" style="6" customWidth="1"/>
    <col min="7663" max="7663" width="15" style="6" customWidth="1"/>
    <col min="7664" max="7665" width="17" style="6" customWidth="1"/>
    <col min="7666" max="7666" width="16.88671875" style="6" customWidth="1"/>
    <col min="7667" max="7667" width="18.33203125" style="6" customWidth="1"/>
    <col min="7668" max="7679" width="15" style="6"/>
    <col min="7680" max="7680" width="5.109375" style="6" customWidth="1"/>
    <col min="7681" max="7681" width="67.33203125" style="6" customWidth="1"/>
    <col min="7682" max="7683" width="9.109375" style="6" customWidth="1"/>
    <col min="7684" max="7684" width="17.33203125" style="6" customWidth="1"/>
    <col min="7685" max="7686" width="15" style="6" customWidth="1"/>
    <col min="7687" max="7687" width="16.6640625" style="6" customWidth="1"/>
    <col min="7688" max="7688" width="11.44140625" style="6" customWidth="1"/>
    <col min="7689" max="7689" width="17.6640625" style="6" customWidth="1"/>
    <col min="7690" max="7690" width="19.6640625" style="6" customWidth="1"/>
    <col min="7691" max="7913" width="9.109375" style="6" customWidth="1"/>
    <col min="7914" max="7914" width="8" style="6" customWidth="1"/>
    <col min="7915" max="7915" width="46.5546875" style="6" customWidth="1"/>
    <col min="7916" max="7917" width="9.109375" style="6" customWidth="1"/>
    <col min="7918" max="7918" width="16.5546875" style="6" customWidth="1"/>
    <col min="7919" max="7919" width="15" style="6" customWidth="1"/>
    <col min="7920" max="7921" width="17" style="6" customWidth="1"/>
    <col min="7922" max="7922" width="16.88671875" style="6" customWidth="1"/>
    <col min="7923" max="7923" width="18.33203125" style="6" customWidth="1"/>
    <col min="7924" max="7935" width="15" style="6"/>
    <col min="7936" max="7936" width="5.109375" style="6" customWidth="1"/>
    <col min="7937" max="7937" width="67.33203125" style="6" customWidth="1"/>
    <col min="7938" max="7939" width="9.109375" style="6" customWidth="1"/>
    <col min="7940" max="7940" width="17.33203125" style="6" customWidth="1"/>
    <col min="7941" max="7942" width="15" style="6" customWidth="1"/>
    <col min="7943" max="7943" width="16.6640625" style="6" customWidth="1"/>
    <col min="7944" max="7944" width="11.44140625" style="6" customWidth="1"/>
    <col min="7945" max="7945" width="17.6640625" style="6" customWidth="1"/>
    <col min="7946" max="7946" width="19.6640625" style="6" customWidth="1"/>
    <col min="7947" max="8169" width="9.109375" style="6" customWidth="1"/>
    <col min="8170" max="8170" width="8" style="6" customWidth="1"/>
    <col min="8171" max="8171" width="46.5546875" style="6" customWidth="1"/>
    <col min="8172" max="8173" width="9.109375" style="6" customWidth="1"/>
    <col min="8174" max="8174" width="16.5546875" style="6" customWidth="1"/>
    <col min="8175" max="8175" width="15" style="6" customWidth="1"/>
    <col min="8176" max="8177" width="17" style="6" customWidth="1"/>
    <col min="8178" max="8178" width="16.88671875" style="6" customWidth="1"/>
    <col min="8179" max="8179" width="18.33203125" style="6" customWidth="1"/>
    <col min="8180" max="8191" width="15" style="6"/>
    <col min="8192" max="8192" width="5.109375" style="6" customWidth="1"/>
    <col min="8193" max="8193" width="67.33203125" style="6" customWidth="1"/>
    <col min="8194" max="8195" width="9.109375" style="6" customWidth="1"/>
    <col min="8196" max="8196" width="17.33203125" style="6" customWidth="1"/>
    <col min="8197" max="8198" width="15" style="6" customWidth="1"/>
    <col min="8199" max="8199" width="16.6640625" style="6" customWidth="1"/>
    <col min="8200" max="8200" width="11.44140625" style="6" customWidth="1"/>
    <col min="8201" max="8201" width="17.6640625" style="6" customWidth="1"/>
    <col min="8202" max="8202" width="19.6640625" style="6" customWidth="1"/>
    <col min="8203" max="8425" width="9.109375" style="6" customWidth="1"/>
    <col min="8426" max="8426" width="8" style="6" customWidth="1"/>
    <col min="8427" max="8427" width="46.5546875" style="6" customWidth="1"/>
    <col min="8428" max="8429" width="9.109375" style="6" customWidth="1"/>
    <col min="8430" max="8430" width="16.5546875" style="6" customWidth="1"/>
    <col min="8431" max="8431" width="15" style="6" customWidth="1"/>
    <col min="8432" max="8433" width="17" style="6" customWidth="1"/>
    <col min="8434" max="8434" width="16.88671875" style="6" customWidth="1"/>
    <col min="8435" max="8435" width="18.33203125" style="6" customWidth="1"/>
    <col min="8436" max="8447" width="15" style="6"/>
    <col min="8448" max="8448" width="5.109375" style="6" customWidth="1"/>
    <col min="8449" max="8449" width="67.33203125" style="6" customWidth="1"/>
    <col min="8450" max="8451" width="9.109375" style="6" customWidth="1"/>
    <col min="8452" max="8452" width="17.33203125" style="6" customWidth="1"/>
    <col min="8453" max="8454" width="15" style="6" customWidth="1"/>
    <col min="8455" max="8455" width="16.6640625" style="6" customWidth="1"/>
    <col min="8456" max="8456" width="11.44140625" style="6" customWidth="1"/>
    <col min="8457" max="8457" width="17.6640625" style="6" customWidth="1"/>
    <col min="8458" max="8458" width="19.6640625" style="6" customWidth="1"/>
    <col min="8459" max="8681" width="9.109375" style="6" customWidth="1"/>
    <col min="8682" max="8682" width="8" style="6" customWidth="1"/>
    <col min="8683" max="8683" width="46.5546875" style="6" customWidth="1"/>
    <col min="8684" max="8685" width="9.109375" style="6" customWidth="1"/>
    <col min="8686" max="8686" width="16.5546875" style="6" customWidth="1"/>
    <col min="8687" max="8687" width="15" style="6" customWidth="1"/>
    <col min="8688" max="8689" width="17" style="6" customWidth="1"/>
    <col min="8690" max="8690" width="16.88671875" style="6" customWidth="1"/>
    <col min="8691" max="8691" width="18.33203125" style="6" customWidth="1"/>
    <col min="8692" max="8703" width="15" style="6"/>
    <col min="8704" max="8704" width="5.109375" style="6" customWidth="1"/>
    <col min="8705" max="8705" width="67.33203125" style="6" customWidth="1"/>
    <col min="8706" max="8707" width="9.109375" style="6" customWidth="1"/>
    <col min="8708" max="8708" width="17.33203125" style="6" customWidth="1"/>
    <col min="8709" max="8710" width="15" style="6" customWidth="1"/>
    <col min="8711" max="8711" width="16.6640625" style="6" customWidth="1"/>
    <col min="8712" max="8712" width="11.44140625" style="6" customWidth="1"/>
    <col min="8713" max="8713" width="17.6640625" style="6" customWidth="1"/>
    <col min="8714" max="8714" width="19.6640625" style="6" customWidth="1"/>
    <col min="8715" max="8937" width="9.109375" style="6" customWidth="1"/>
    <col min="8938" max="8938" width="8" style="6" customWidth="1"/>
    <col min="8939" max="8939" width="46.5546875" style="6" customWidth="1"/>
    <col min="8940" max="8941" width="9.109375" style="6" customWidth="1"/>
    <col min="8942" max="8942" width="16.5546875" style="6" customWidth="1"/>
    <col min="8943" max="8943" width="15" style="6" customWidth="1"/>
    <col min="8944" max="8945" width="17" style="6" customWidth="1"/>
    <col min="8946" max="8946" width="16.88671875" style="6" customWidth="1"/>
    <col min="8947" max="8947" width="18.33203125" style="6" customWidth="1"/>
    <col min="8948" max="8959" width="15" style="6"/>
    <col min="8960" max="8960" width="5.109375" style="6" customWidth="1"/>
    <col min="8961" max="8961" width="67.33203125" style="6" customWidth="1"/>
    <col min="8962" max="8963" width="9.109375" style="6" customWidth="1"/>
    <col min="8964" max="8964" width="17.33203125" style="6" customWidth="1"/>
    <col min="8965" max="8966" width="15" style="6" customWidth="1"/>
    <col min="8967" max="8967" width="16.6640625" style="6" customWidth="1"/>
    <col min="8968" max="8968" width="11.44140625" style="6" customWidth="1"/>
    <col min="8969" max="8969" width="17.6640625" style="6" customWidth="1"/>
    <col min="8970" max="8970" width="19.6640625" style="6" customWidth="1"/>
    <col min="8971" max="9193" width="9.109375" style="6" customWidth="1"/>
    <col min="9194" max="9194" width="8" style="6" customWidth="1"/>
    <col min="9195" max="9195" width="46.5546875" style="6" customWidth="1"/>
    <col min="9196" max="9197" width="9.109375" style="6" customWidth="1"/>
    <col min="9198" max="9198" width="16.5546875" style="6" customWidth="1"/>
    <col min="9199" max="9199" width="15" style="6" customWidth="1"/>
    <col min="9200" max="9201" width="17" style="6" customWidth="1"/>
    <col min="9202" max="9202" width="16.88671875" style="6" customWidth="1"/>
    <col min="9203" max="9203" width="18.33203125" style="6" customWidth="1"/>
    <col min="9204" max="9215" width="15" style="6"/>
    <col min="9216" max="9216" width="5.109375" style="6" customWidth="1"/>
    <col min="9217" max="9217" width="67.33203125" style="6" customWidth="1"/>
    <col min="9218" max="9219" width="9.109375" style="6" customWidth="1"/>
    <col min="9220" max="9220" width="17.33203125" style="6" customWidth="1"/>
    <col min="9221" max="9222" width="15" style="6" customWidth="1"/>
    <col min="9223" max="9223" width="16.6640625" style="6" customWidth="1"/>
    <col min="9224" max="9224" width="11.44140625" style="6" customWidth="1"/>
    <col min="9225" max="9225" width="17.6640625" style="6" customWidth="1"/>
    <col min="9226" max="9226" width="19.6640625" style="6" customWidth="1"/>
    <col min="9227" max="9449" width="9.109375" style="6" customWidth="1"/>
    <col min="9450" max="9450" width="8" style="6" customWidth="1"/>
    <col min="9451" max="9451" width="46.5546875" style="6" customWidth="1"/>
    <col min="9452" max="9453" width="9.109375" style="6" customWidth="1"/>
    <col min="9454" max="9454" width="16.5546875" style="6" customWidth="1"/>
    <col min="9455" max="9455" width="15" style="6" customWidth="1"/>
    <col min="9456" max="9457" width="17" style="6" customWidth="1"/>
    <col min="9458" max="9458" width="16.88671875" style="6" customWidth="1"/>
    <col min="9459" max="9459" width="18.33203125" style="6" customWidth="1"/>
    <col min="9460" max="9471" width="15" style="6"/>
    <col min="9472" max="9472" width="5.109375" style="6" customWidth="1"/>
    <col min="9473" max="9473" width="67.33203125" style="6" customWidth="1"/>
    <col min="9474" max="9475" width="9.109375" style="6" customWidth="1"/>
    <col min="9476" max="9476" width="17.33203125" style="6" customWidth="1"/>
    <col min="9477" max="9478" width="15" style="6" customWidth="1"/>
    <col min="9479" max="9479" width="16.6640625" style="6" customWidth="1"/>
    <col min="9480" max="9480" width="11.44140625" style="6" customWidth="1"/>
    <col min="9481" max="9481" width="17.6640625" style="6" customWidth="1"/>
    <col min="9482" max="9482" width="19.6640625" style="6" customWidth="1"/>
    <col min="9483" max="9705" width="9.109375" style="6" customWidth="1"/>
    <col min="9706" max="9706" width="8" style="6" customWidth="1"/>
    <col min="9707" max="9707" width="46.5546875" style="6" customWidth="1"/>
    <col min="9708" max="9709" width="9.109375" style="6" customWidth="1"/>
    <col min="9710" max="9710" width="16.5546875" style="6" customWidth="1"/>
    <col min="9711" max="9711" width="15" style="6" customWidth="1"/>
    <col min="9712" max="9713" width="17" style="6" customWidth="1"/>
    <col min="9714" max="9714" width="16.88671875" style="6" customWidth="1"/>
    <col min="9715" max="9715" width="18.33203125" style="6" customWidth="1"/>
    <col min="9716" max="9727" width="15" style="6"/>
    <col min="9728" max="9728" width="5.109375" style="6" customWidth="1"/>
    <col min="9729" max="9729" width="67.33203125" style="6" customWidth="1"/>
    <col min="9730" max="9731" width="9.109375" style="6" customWidth="1"/>
    <col min="9732" max="9732" width="17.33203125" style="6" customWidth="1"/>
    <col min="9733" max="9734" width="15" style="6" customWidth="1"/>
    <col min="9735" max="9735" width="16.6640625" style="6" customWidth="1"/>
    <col min="9736" max="9736" width="11.44140625" style="6" customWidth="1"/>
    <col min="9737" max="9737" width="17.6640625" style="6" customWidth="1"/>
    <col min="9738" max="9738" width="19.6640625" style="6" customWidth="1"/>
    <col min="9739" max="9961" width="9.109375" style="6" customWidth="1"/>
    <col min="9962" max="9962" width="8" style="6" customWidth="1"/>
    <col min="9963" max="9963" width="46.5546875" style="6" customWidth="1"/>
    <col min="9964" max="9965" width="9.109375" style="6" customWidth="1"/>
    <col min="9966" max="9966" width="16.5546875" style="6" customWidth="1"/>
    <col min="9967" max="9967" width="15" style="6" customWidth="1"/>
    <col min="9968" max="9969" width="17" style="6" customWidth="1"/>
    <col min="9970" max="9970" width="16.88671875" style="6" customWidth="1"/>
    <col min="9971" max="9971" width="18.33203125" style="6" customWidth="1"/>
    <col min="9972" max="9983" width="15" style="6"/>
    <col min="9984" max="9984" width="5.109375" style="6" customWidth="1"/>
    <col min="9985" max="9985" width="67.33203125" style="6" customWidth="1"/>
    <col min="9986" max="9987" width="9.109375" style="6" customWidth="1"/>
    <col min="9988" max="9988" width="17.33203125" style="6" customWidth="1"/>
    <col min="9989" max="9990" width="15" style="6" customWidth="1"/>
    <col min="9991" max="9991" width="16.6640625" style="6" customWidth="1"/>
    <col min="9992" max="9992" width="11.44140625" style="6" customWidth="1"/>
    <col min="9993" max="9993" width="17.6640625" style="6" customWidth="1"/>
    <col min="9994" max="9994" width="19.6640625" style="6" customWidth="1"/>
    <col min="9995" max="10217" width="9.109375" style="6" customWidth="1"/>
    <col min="10218" max="10218" width="8" style="6" customWidth="1"/>
    <col min="10219" max="10219" width="46.5546875" style="6" customWidth="1"/>
    <col min="10220" max="10221" width="9.109375" style="6" customWidth="1"/>
    <col min="10222" max="10222" width="16.5546875" style="6" customWidth="1"/>
    <col min="10223" max="10223" width="15" style="6" customWidth="1"/>
    <col min="10224" max="10225" width="17" style="6" customWidth="1"/>
    <col min="10226" max="10226" width="16.88671875" style="6" customWidth="1"/>
    <col min="10227" max="10227" width="18.33203125" style="6" customWidth="1"/>
    <col min="10228" max="10239" width="15" style="6"/>
    <col min="10240" max="10240" width="5.109375" style="6" customWidth="1"/>
    <col min="10241" max="10241" width="67.33203125" style="6" customWidth="1"/>
    <col min="10242" max="10243" width="9.109375" style="6" customWidth="1"/>
    <col min="10244" max="10244" width="17.33203125" style="6" customWidth="1"/>
    <col min="10245" max="10246" width="15" style="6" customWidth="1"/>
    <col min="10247" max="10247" width="16.6640625" style="6" customWidth="1"/>
    <col min="10248" max="10248" width="11.44140625" style="6" customWidth="1"/>
    <col min="10249" max="10249" width="17.6640625" style="6" customWidth="1"/>
    <col min="10250" max="10250" width="19.6640625" style="6" customWidth="1"/>
    <col min="10251" max="10473" width="9.109375" style="6" customWidth="1"/>
    <col min="10474" max="10474" width="8" style="6" customWidth="1"/>
    <col min="10475" max="10475" width="46.5546875" style="6" customWidth="1"/>
    <col min="10476" max="10477" width="9.109375" style="6" customWidth="1"/>
    <col min="10478" max="10478" width="16.5546875" style="6" customWidth="1"/>
    <col min="10479" max="10479" width="15" style="6" customWidth="1"/>
    <col min="10480" max="10481" width="17" style="6" customWidth="1"/>
    <col min="10482" max="10482" width="16.88671875" style="6" customWidth="1"/>
    <col min="10483" max="10483" width="18.33203125" style="6" customWidth="1"/>
    <col min="10484" max="10495" width="15" style="6"/>
    <col min="10496" max="10496" width="5.109375" style="6" customWidth="1"/>
    <col min="10497" max="10497" width="67.33203125" style="6" customWidth="1"/>
    <col min="10498" max="10499" width="9.109375" style="6" customWidth="1"/>
    <col min="10500" max="10500" width="17.33203125" style="6" customWidth="1"/>
    <col min="10501" max="10502" width="15" style="6" customWidth="1"/>
    <col min="10503" max="10503" width="16.6640625" style="6" customWidth="1"/>
    <col min="10504" max="10504" width="11.44140625" style="6" customWidth="1"/>
    <col min="10505" max="10505" width="17.6640625" style="6" customWidth="1"/>
    <col min="10506" max="10506" width="19.6640625" style="6" customWidth="1"/>
    <col min="10507" max="10729" width="9.109375" style="6" customWidth="1"/>
    <col min="10730" max="10730" width="8" style="6" customWidth="1"/>
    <col min="10731" max="10731" width="46.5546875" style="6" customWidth="1"/>
    <col min="10732" max="10733" width="9.109375" style="6" customWidth="1"/>
    <col min="10734" max="10734" width="16.5546875" style="6" customWidth="1"/>
    <col min="10735" max="10735" width="15" style="6" customWidth="1"/>
    <col min="10736" max="10737" width="17" style="6" customWidth="1"/>
    <col min="10738" max="10738" width="16.88671875" style="6" customWidth="1"/>
    <col min="10739" max="10739" width="18.33203125" style="6" customWidth="1"/>
    <col min="10740" max="10751" width="15" style="6"/>
    <col min="10752" max="10752" width="5.109375" style="6" customWidth="1"/>
    <col min="10753" max="10753" width="67.33203125" style="6" customWidth="1"/>
    <col min="10754" max="10755" width="9.109375" style="6" customWidth="1"/>
    <col min="10756" max="10756" width="17.33203125" style="6" customWidth="1"/>
    <col min="10757" max="10758" width="15" style="6" customWidth="1"/>
    <col min="10759" max="10759" width="16.6640625" style="6" customWidth="1"/>
    <col min="10760" max="10760" width="11.44140625" style="6" customWidth="1"/>
    <col min="10761" max="10761" width="17.6640625" style="6" customWidth="1"/>
    <col min="10762" max="10762" width="19.6640625" style="6" customWidth="1"/>
    <col min="10763" max="10985" width="9.109375" style="6" customWidth="1"/>
    <col min="10986" max="10986" width="8" style="6" customWidth="1"/>
    <col min="10987" max="10987" width="46.5546875" style="6" customWidth="1"/>
    <col min="10988" max="10989" width="9.109375" style="6" customWidth="1"/>
    <col min="10990" max="10990" width="16.5546875" style="6" customWidth="1"/>
    <col min="10991" max="10991" width="15" style="6" customWidth="1"/>
    <col min="10992" max="10993" width="17" style="6" customWidth="1"/>
    <col min="10994" max="10994" width="16.88671875" style="6" customWidth="1"/>
    <col min="10995" max="10995" width="18.33203125" style="6" customWidth="1"/>
    <col min="10996" max="11007" width="15" style="6"/>
    <col min="11008" max="11008" width="5.109375" style="6" customWidth="1"/>
    <col min="11009" max="11009" width="67.33203125" style="6" customWidth="1"/>
    <col min="11010" max="11011" width="9.109375" style="6" customWidth="1"/>
    <col min="11012" max="11012" width="17.33203125" style="6" customWidth="1"/>
    <col min="11013" max="11014" width="15" style="6" customWidth="1"/>
    <col min="11015" max="11015" width="16.6640625" style="6" customWidth="1"/>
    <col min="11016" max="11016" width="11.44140625" style="6" customWidth="1"/>
    <col min="11017" max="11017" width="17.6640625" style="6" customWidth="1"/>
    <col min="11018" max="11018" width="19.6640625" style="6" customWidth="1"/>
    <col min="11019" max="11241" width="9.109375" style="6" customWidth="1"/>
    <col min="11242" max="11242" width="8" style="6" customWidth="1"/>
    <col min="11243" max="11243" width="46.5546875" style="6" customWidth="1"/>
    <col min="11244" max="11245" width="9.109375" style="6" customWidth="1"/>
    <col min="11246" max="11246" width="16.5546875" style="6" customWidth="1"/>
    <col min="11247" max="11247" width="15" style="6" customWidth="1"/>
    <col min="11248" max="11249" width="17" style="6" customWidth="1"/>
    <col min="11250" max="11250" width="16.88671875" style="6" customWidth="1"/>
    <col min="11251" max="11251" width="18.33203125" style="6" customWidth="1"/>
    <col min="11252" max="11263" width="15" style="6"/>
    <col min="11264" max="11264" width="5.109375" style="6" customWidth="1"/>
    <col min="11265" max="11265" width="67.33203125" style="6" customWidth="1"/>
    <col min="11266" max="11267" width="9.109375" style="6" customWidth="1"/>
    <col min="11268" max="11268" width="17.33203125" style="6" customWidth="1"/>
    <col min="11269" max="11270" width="15" style="6" customWidth="1"/>
    <col min="11271" max="11271" width="16.6640625" style="6" customWidth="1"/>
    <col min="11272" max="11272" width="11.44140625" style="6" customWidth="1"/>
    <col min="11273" max="11273" width="17.6640625" style="6" customWidth="1"/>
    <col min="11274" max="11274" width="19.6640625" style="6" customWidth="1"/>
    <col min="11275" max="11497" width="9.109375" style="6" customWidth="1"/>
    <col min="11498" max="11498" width="8" style="6" customWidth="1"/>
    <col min="11499" max="11499" width="46.5546875" style="6" customWidth="1"/>
    <col min="11500" max="11501" width="9.109375" style="6" customWidth="1"/>
    <col min="11502" max="11502" width="16.5546875" style="6" customWidth="1"/>
    <col min="11503" max="11503" width="15" style="6" customWidth="1"/>
    <col min="11504" max="11505" width="17" style="6" customWidth="1"/>
    <col min="11506" max="11506" width="16.88671875" style="6" customWidth="1"/>
    <col min="11507" max="11507" width="18.33203125" style="6" customWidth="1"/>
    <col min="11508" max="11519" width="15" style="6"/>
    <col min="11520" max="11520" width="5.109375" style="6" customWidth="1"/>
    <col min="11521" max="11521" width="67.33203125" style="6" customWidth="1"/>
    <col min="11522" max="11523" width="9.109375" style="6" customWidth="1"/>
    <col min="11524" max="11524" width="17.33203125" style="6" customWidth="1"/>
    <col min="11525" max="11526" width="15" style="6" customWidth="1"/>
    <col min="11527" max="11527" width="16.6640625" style="6" customWidth="1"/>
    <col min="11528" max="11528" width="11.44140625" style="6" customWidth="1"/>
    <col min="11529" max="11529" width="17.6640625" style="6" customWidth="1"/>
    <col min="11530" max="11530" width="19.6640625" style="6" customWidth="1"/>
    <col min="11531" max="11753" width="9.109375" style="6" customWidth="1"/>
    <col min="11754" max="11754" width="8" style="6" customWidth="1"/>
    <col min="11755" max="11755" width="46.5546875" style="6" customWidth="1"/>
    <col min="11756" max="11757" width="9.109375" style="6" customWidth="1"/>
    <col min="11758" max="11758" width="16.5546875" style="6" customWidth="1"/>
    <col min="11759" max="11759" width="15" style="6" customWidth="1"/>
    <col min="11760" max="11761" width="17" style="6" customWidth="1"/>
    <col min="11762" max="11762" width="16.88671875" style="6" customWidth="1"/>
    <col min="11763" max="11763" width="18.33203125" style="6" customWidth="1"/>
    <col min="11764" max="11775" width="15" style="6"/>
    <col min="11776" max="11776" width="5.109375" style="6" customWidth="1"/>
    <col min="11777" max="11777" width="67.33203125" style="6" customWidth="1"/>
    <col min="11778" max="11779" width="9.109375" style="6" customWidth="1"/>
    <col min="11780" max="11780" width="17.33203125" style="6" customWidth="1"/>
    <col min="11781" max="11782" width="15" style="6" customWidth="1"/>
    <col min="11783" max="11783" width="16.6640625" style="6" customWidth="1"/>
    <col min="11784" max="11784" width="11.44140625" style="6" customWidth="1"/>
    <col min="11785" max="11785" width="17.6640625" style="6" customWidth="1"/>
    <col min="11786" max="11786" width="19.6640625" style="6" customWidth="1"/>
    <col min="11787" max="12009" width="9.109375" style="6" customWidth="1"/>
    <col min="12010" max="12010" width="8" style="6" customWidth="1"/>
    <col min="12011" max="12011" width="46.5546875" style="6" customWidth="1"/>
    <col min="12012" max="12013" width="9.109375" style="6" customWidth="1"/>
    <col min="12014" max="12014" width="16.5546875" style="6" customWidth="1"/>
    <col min="12015" max="12015" width="15" style="6" customWidth="1"/>
    <col min="12016" max="12017" width="17" style="6" customWidth="1"/>
    <col min="12018" max="12018" width="16.88671875" style="6" customWidth="1"/>
    <col min="12019" max="12019" width="18.33203125" style="6" customWidth="1"/>
    <col min="12020" max="12031" width="15" style="6"/>
    <col min="12032" max="12032" width="5.109375" style="6" customWidth="1"/>
    <col min="12033" max="12033" width="67.33203125" style="6" customWidth="1"/>
    <col min="12034" max="12035" width="9.109375" style="6" customWidth="1"/>
    <col min="12036" max="12036" width="17.33203125" style="6" customWidth="1"/>
    <col min="12037" max="12038" width="15" style="6" customWidth="1"/>
    <col min="12039" max="12039" width="16.6640625" style="6" customWidth="1"/>
    <col min="12040" max="12040" width="11.44140625" style="6" customWidth="1"/>
    <col min="12041" max="12041" width="17.6640625" style="6" customWidth="1"/>
    <col min="12042" max="12042" width="19.6640625" style="6" customWidth="1"/>
    <col min="12043" max="12265" width="9.109375" style="6" customWidth="1"/>
    <col min="12266" max="12266" width="8" style="6" customWidth="1"/>
    <col min="12267" max="12267" width="46.5546875" style="6" customWidth="1"/>
    <col min="12268" max="12269" width="9.109375" style="6" customWidth="1"/>
    <col min="12270" max="12270" width="16.5546875" style="6" customWidth="1"/>
    <col min="12271" max="12271" width="15" style="6" customWidth="1"/>
    <col min="12272" max="12273" width="17" style="6" customWidth="1"/>
    <col min="12274" max="12274" width="16.88671875" style="6" customWidth="1"/>
    <col min="12275" max="12275" width="18.33203125" style="6" customWidth="1"/>
    <col min="12276" max="12287" width="15" style="6"/>
    <col min="12288" max="12288" width="5.109375" style="6" customWidth="1"/>
    <col min="12289" max="12289" width="67.33203125" style="6" customWidth="1"/>
    <col min="12290" max="12291" width="9.109375" style="6" customWidth="1"/>
    <col min="12292" max="12292" width="17.33203125" style="6" customWidth="1"/>
    <col min="12293" max="12294" width="15" style="6" customWidth="1"/>
    <col min="12295" max="12295" width="16.6640625" style="6" customWidth="1"/>
    <col min="12296" max="12296" width="11.44140625" style="6" customWidth="1"/>
    <col min="12297" max="12297" width="17.6640625" style="6" customWidth="1"/>
    <col min="12298" max="12298" width="19.6640625" style="6" customWidth="1"/>
    <col min="12299" max="12521" width="9.109375" style="6" customWidth="1"/>
    <col min="12522" max="12522" width="8" style="6" customWidth="1"/>
    <col min="12523" max="12523" width="46.5546875" style="6" customWidth="1"/>
    <col min="12524" max="12525" width="9.109375" style="6" customWidth="1"/>
    <col min="12526" max="12526" width="16.5546875" style="6" customWidth="1"/>
    <col min="12527" max="12527" width="15" style="6" customWidth="1"/>
    <col min="12528" max="12529" width="17" style="6" customWidth="1"/>
    <col min="12530" max="12530" width="16.88671875" style="6" customWidth="1"/>
    <col min="12531" max="12531" width="18.33203125" style="6" customWidth="1"/>
    <col min="12532" max="12543" width="15" style="6"/>
    <col min="12544" max="12544" width="5.109375" style="6" customWidth="1"/>
    <col min="12545" max="12545" width="67.33203125" style="6" customWidth="1"/>
    <col min="12546" max="12547" width="9.109375" style="6" customWidth="1"/>
    <col min="12548" max="12548" width="17.33203125" style="6" customWidth="1"/>
    <col min="12549" max="12550" width="15" style="6" customWidth="1"/>
    <col min="12551" max="12551" width="16.6640625" style="6" customWidth="1"/>
    <col min="12552" max="12552" width="11.44140625" style="6" customWidth="1"/>
    <col min="12553" max="12553" width="17.6640625" style="6" customWidth="1"/>
    <col min="12554" max="12554" width="19.6640625" style="6" customWidth="1"/>
    <col min="12555" max="12777" width="9.109375" style="6" customWidth="1"/>
    <col min="12778" max="12778" width="8" style="6" customWidth="1"/>
    <col min="12779" max="12779" width="46.5546875" style="6" customWidth="1"/>
    <col min="12780" max="12781" width="9.109375" style="6" customWidth="1"/>
    <col min="12782" max="12782" width="16.5546875" style="6" customWidth="1"/>
    <col min="12783" max="12783" width="15" style="6" customWidth="1"/>
    <col min="12784" max="12785" width="17" style="6" customWidth="1"/>
    <col min="12786" max="12786" width="16.88671875" style="6" customWidth="1"/>
    <col min="12787" max="12787" width="18.33203125" style="6" customWidth="1"/>
    <col min="12788" max="12799" width="15" style="6"/>
    <col min="12800" max="12800" width="5.109375" style="6" customWidth="1"/>
    <col min="12801" max="12801" width="67.33203125" style="6" customWidth="1"/>
    <col min="12802" max="12803" width="9.109375" style="6" customWidth="1"/>
    <col min="12804" max="12804" width="17.33203125" style="6" customWidth="1"/>
    <col min="12805" max="12806" width="15" style="6" customWidth="1"/>
    <col min="12807" max="12807" width="16.6640625" style="6" customWidth="1"/>
    <col min="12808" max="12808" width="11.44140625" style="6" customWidth="1"/>
    <col min="12809" max="12809" width="17.6640625" style="6" customWidth="1"/>
    <col min="12810" max="12810" width="19.6640625" style="6" customWidth="1"/>
    <col min="12811" max="13033" width="9.109375" style="6" customWidth="1"/>
    <col min="13034" max="13034" width="8" style="6" customWidth="1"/>
    <col min="13035" max="13035" width="46.5546875" style="6" customWidth="1"/>
    <col min="13036" max="13037" width="9.109375" style="6" customWidth="1"/>
    <col min="13038" max="13038" width="16.5546875" style="6" customWidth="1"/>
    <col min="13039" max="13039" width="15" style="6" customWidth="1"/>
    <col min="13040" max="13041" width="17" style="6" customWidth="1"/>
    <col min="13042" max="13042" width="16.88671875" style="6" customWidth="1"/>
    <col min="13043" max="13043" width="18.33203125" style="6" customWidth="1"/>
    <col min="13044" max="13055" width="15" style="6"/>
    <col min="13056" max="13056" width="5.109375" style="6" customWidth="1"/>
    <col min="13057" max="13057" width="67.33203125" style="6" customWidth="1"/>
    <col min="13058" max="13059" width="9.109375" style="6" customWidth="1"/>
    <col min="13060" max="13060" width="17.33203125" style="6" customWidth="1"/>
    <col min="13061" max="13062" width="15" style="6" customWidth="1"/>
    <col min="13063" max="13063" width="16.6640625" style="6" customWidth="1"/>
    <col min="13064" max="13064" width="11.44140625" style="6" customWidth="1"/>
    <col min="13065" max="13065" width="17.6640625" style="6" customWidth="1"/>
    <col min="13066" max="13066" width="19.6640625" style="6" customWidth="1"/>
    <col min="13067" max="13289" width="9.109375" style="6" customWidth="1"/>
    <col min="13290" max="13290" width="8" style="6" customWidth="1"/>
    <col min="13291" max="13291" width="46.5546875" style="6" customWidth="1"/>
    <col min="13292" max="13293" width="9.109375" style="6" customWidth="1"/>
    <col min="13294" max="13294" width="16.5546875" style="6" customWidth="1"/>
    <col min="13295" max="13295" width="15" style="6" customWidth="1"/>
    <col min="13296" max="13297" width="17" style="6" customWidth="1"/>
    <col min="13298" max="13298" width="16.88671875" style="6" customWidth="1"/>
    <col min="13299" max="13299" width="18.33203125" style="6" customWidth="1"/>
    <col min="13300" max="13311" width="15" style="6"/>
    <col min="13312" max="13312" width="5.109375" style="6" customWidth="1"/>
    <col min="13313" max="13313" width="67.33203125" style="6" customWidth="1"/>
    <col min="13314" max="13315" width="9.109375" style="6" customWidth="1"/>
    <col min="13316" max="13316" width="17.33203125" style="6" customWidth="1"/>
    <col min="13317" max="13318" width="15" style="6" customWidth="1"/>
    <col min="13319" max="13319" width="16.6640625" style="6" customWidth="1"/>
    <col min="13320" max="13320" width="11.44140625" style="6" customWidth="1"/>
    <col min="13321" max="13321" width="17.6640625" style="6" customWidth="1"/>
    <col min="13322" max="13322" width="19.6640625" style="6" customWidth="1"/>
    <col min="13323" max="13545" width="9.109375" style="6" customWidth="1"/>
    <col min="13546" max="13546" width="8" style="6" customWidth="1"/>
    <col min="13547" max="13547" width="46.5546875" style="6" customWidth="1"/>
    <col min="13548" max="13549" width="9.109375" style="6" customWidth="1"/>
    <col min="13550" max="13550" width="16.5546875" style="6" customWidth="1"/>
    <col min="13551" max="13551" width="15" style="6" customWidth="1"/>
    <col min="13552" max="13553" width="17" style="6" customWidth="1"/>
    <col min="13554" max="13554" width="16.88671875" style="6" customWidth="1"/>
    <col min="13555" max="13555" width="18.33203125" style="6" customWidth="1"/>
    <col min="13556" max="13567" width="15" style="6"/>
    <col min="13568" max="13568" width="5.109375" style="6" customWidth="1"/>
    <col min="13569" max="13569" width="67.33203125" style="6" customWidth="1"/>
    <col min="13570" max="13571" width="9.109375" style="6" customWidth="1"/>
    <col min="13572" max="13572" width="17.33203125" style="6" customWidth="1"/>
    <col min="13573" max="13574" width="15" style="6" customWidth="1"/>
    <col min="13575" max="13575" width="16.6640625" style="6" customWidth="1"/>
    <col min="13576" max="13576" width="11.44140625" style="6" customWidth="1"/>
    <col min="13577" max="13577" width="17.6640625" style="6" customWidth="1"/>
    <col min="13578" max="13578" width="19.6640625" style="6" customWidth="1"/>
    <col min="13579" max="13801" width="9.109375" style="6" customWidth="1"/>
    <col min="13802" max="13802" width="8" style="6" customWidth="1"/>
    <col min="13803" max="13803" width="46.5546875" style="6" customWidth="1"/>
    <col min="13804" max="13805" width="9.109375" style="6" customWidth="1"/>
    <col min="13806" max="13806" width="16.5546875" style="6" customWidth="1"/>
    <col min="13807" max="13807" width="15" style="6" customWidth="1"/>
    <col min="13808" max="13809" width="17" style="6" customWidth="1"/>
    <col min="13810" max="13810" width="16.88671875" style="6" customWidth="1"/>
    <col min="13811" max="13811" width="18.33203125" style="6" customWidth="1"/>
    <col min="13812" max="13823" width="15" style="6"/>
    <col min="13824" max="13824" width="5.109375" style="6" customWidth="1"/>
    <col min="13825" max="13825" width="67.33203125" style="6" customWidth="1"/>
    <col min="13826" max="13827" width="9.109375" style="6" customWidth="1"/>
    <col min="13828" max="13828" width="17.33203125" style="6" customWidth="1"/>
    <col min="13829" max="13830" width="15" style="6" customWidth="1"/>
    <col min="13831" max="13831" width="16.6640625" style="6" customWidth="1"/>
    <col min="13832" max="13832" width="11.44140625" style="6" customWidth="1"/>
    <col min="13833" max="13833" width="17.6640625" style="6" customWidth="1"/>
    <col min="13834" max="13834" width="19.6640625" style="6" customWidth="1"/>
    <col min="13835" max="14057" width="9.109375" style="6" customWidth="1"/>
    <col min="14058" max="14058" width="8" style="6" customWidth="1"/>
    <col min="14059" max="14059" width="46.5546875" style="6" customWidth="1"/>
    <col min="14060" max="14061" width="9.109375" style="6" customWidth="1"/>
    <col min="14062" max="14062" width="16.5546875" style="6" customWidth="1"/>
    <col min="14063" max="14063" width="15" style="6" customWidth="1"/>
    <col min="14064" max="14065" width="17" style="6" customWidth="1"/>
    <col min="14066" max="14066" width="16.88671875" style="6" customWidth="1"/>
    <col min="14067" max="14067" width="18.33203125" style="6" customWidth="1"/>
    <col min="14068" max="14079" width="15" style="6"/>
    <col min="14080" max="14080" width="5.109375" style="6" customWidth="1"/>
    <col min="14081" max="14081" width="67.33203125" style="6" customWidth="1"/>
    <col min="14082" max="14083" width="9.109375" style="6" customWidth="1"/>
    <col min="14084" max="14084" width="17.33203125" style="6" customWidth="1"/>
    <col min="14085" max="14086" width="15" style="6" customWidth="1"/>
    <col min="14087" max="14087" width="16.6640625" style="6" customWidth="1"/>
    <col min="14088" max="14088" width="11.44140625" style="6" customWidth="1"/>
    <col min="14089" max="14089" width="17.6640625" style="6" customWidth="1"/>
    <col min="14090" max="14090" width="19.6640625" style="6" customWidth="1"/>
    <col min="14091" max="14313" width="9.109375" style="6" customWidth="1"/>
    <col min="14314" max="14314" width="8" style="6" customWidth="1"/>
    <col min="14315" max="14315" width="46.5546875" style="6" customWidth="1"/>
    <col min="14316" max="14317" width="9.109375" style="6" customWidth="1"/>
    <col min="14318" max="14318" width="16.5546875" style="6" customWidth="1"/>
    <col min="14319" max="14319" width="15" style="6" customWidth="1"/>
    <col min="14320" max="14321" width="17" style="6" customWidth="1"/>
    <col min="14322" max="14322" width="16.88671875" style="6" customWidth="1"/>
    <col min="14323" max="14323" width="18.33203125" style="6" customWidth="1"/>
    <col min="14324" max="14335" width="15" style="6"/>
    <col min="14336" max="14336" width="5.109375" style="6" customWidth="1"/>
    <col min="14337" max="14337" width="67.33203125" style="6" customWidth="1"/>
    <col min="14338" max="14339" width="9.109375" style="6" customWidth="1"/>
    <col min="14340" max="14340" width="17.33203125" style="6" customWidth="1"/>
    <col min="14341" max="14342" width="15" style="6" customWidth="1"/>
    <col min="14343" max="14343" width="16.6640625" style="6" customWidth="1"/>
    <col min="14344" max="14344" width="11.44140625" style="6" customWidth="1"/>
    <col min="14345" max="14345" width="17.6640625" style="6" customWidth="1"/>
    <col min="14346" max="14346" width="19.6640625" style="6" customWidth="1"/>
    <col min="14347" max="14569" width="9.109375" style="6" customWidth="1"/>
    <col min="14570" max="14570" width="8" style="6" customWidth="1"/>
    <col min="14571" max="14571" width="46.5546875" style="6" customWidth="1"/>
    <col min="14572" max="14573" width="9.109375" style="6" customWidth="1"/>
    <col min="14574" max="14574" width="16.5546875" style="6" customWidth="1"/>
    <col min="14575" max="14575" width="15" style="6" customWidth="1"/>
    <col min="14576" max="14577" width="17" style="6" customWidth="1"/>
    <col min="14578" max="14578" width="16.88671875" style="6" customWidth="1"/>
    <col min="14579" max="14579" width="18.33203125" style="6" customWidth="1"/>
    <col min="14580" max="14591" width="15" style="6"/>
    <col min="14592" max="14592" width="5.109375" style="6" customWidth="1"/>
    <col min="14593" max="14593" width="67.33203125" style="6" customWidth="1"/>
    <col min="14594" max="14595" width="9.109375" style="6" customWidth="1"/>
    <col min="14596" max="14596" width="17.33203125" style="6" customWidth="1"/>
    <col min="14597" max="14598" width="15" style="6" customWidth="1"/>
    <col min="14599" max="14599" width="16.6640625" style="6" customWidth="1"/>
    <col min="14600" max="14600" width="11.44140625" style="6" customWidth="1"/>
    <col min="14601" max="14601" width="17.6640625" style="6" customWidth="1"/>
    <col min="14602" max="14602" width="19.6640625" style="6" customWidth="1"/>
    <col min="14603" max="14825" width="9.109375" style="6" customWidth="1"/>
    <col min="14826" max="14826" width="8" style="6" customWidth="1"/>
    <col min="14827" max="14827" width="46.5546875" style="6" customWidth="1"/>
    <col min="14828" max="14829" width="9.109375" style="6" customWidth="1"/>
    <col min="14830" max="14830" width="16.5546875" style="6" customWidth="1"/>
    <col min="14831" max="14831" width="15" style="6" customWidth="1"/>
    <col min="14832" max="14833" width="17" style="6" customWidth="1"/>
    <col min="14834" max="14834" width="16.88671875" style="6" customWidth="1"/>
    <col min="14835" max="14835" width="18.33203125" style="6" customWidth="1"/>
    <col min="14836" max="14847" width="15" style="6"/>
    <col min="14848" max="14848" width="5.109375" style="6" customWidth="1"/>
    <col min="14849" max="14849" width="67.33203125" style="6" customWidth="1"/>
    <col min="14850" max="14851" width="9.109375" style="6" customWidth="1"/>
    <col min="14852" max="14852" width="17.33203125" style="6" customWidth="1"/>
    <col min="14853" max="14854" width="15" style="6" customWidth="1"/>
    <col min="14855" max="14855" width="16.6640625" style="6" customWidth="1"/>
    <col min="14856" max="14856" width="11.44140625" style="6" customWidth="1"/>
    <col min="14857" max="14857" width="17.6640625" style="6" customWidth="1"/>
    <col min="14858" max="14858" width="19.6640625" style="6" customWidth="1"/>
    <col min="14859" max="15081" width="9.109375" style="6" customWidth="1"/>
    <col min="15082" max="15082" width="8" style="6" customWidth="1"/>
    <col min="15083" max="15083" width="46.5546875" style="6" customWidth="1"/>
    <col min="15084" max="15085" width="9.109375" style="6" customWidth="1"/>
    <col min="15086" max="15086" width="16.5546875" style="6" customWidth="1"/>
    <col min="15087" max="15087" width="15" style="6" customWidth="1"/>
    <col min="15088" max="15089" width="17" style="6" customWidth="1"/>
    <col min="15090" max="15090" width="16.88671875" style="6" customWidth="1"/>
    <col min="15091" max="15091" width="18.33203125" style="6" customWidth="1"/>
    <col min="15092" max="15103" width="15" style="6"/>
    <col min="15104" max="15104" width="5.109375" style="6" customWidth="1"/>
    <col min="15105" max="15105" width="67.33203125" style="6" customWidth="1"/>
    <col min="15106" max="15107" width="9.109375" style="6" customWidth="1"/>
    <col min="15108" max="15108" width="17.33203125" style="6" customWidth="1"/>
    <col min="15109" max="15110" width="15" style="6" customWidth="1"/>
    <col min="15111" max="15111" width="16.6640625" style="6" customWidth="1"/>
    <col min="15112" max="15112" width="11.44140625" style="6" customWidth="1"/>
    <col min="15113" max="15113" width="17.6640625" style="6" customWidth="1"/>
    <col min="15114" max="15114" width="19.6640625" style="6" customWidth="1"/>
    <col min="15115" max="15337" width="9.109375" style="6" customWidth="1"/>
    <col min="15338" max="15338" width="8" style="6" customWidth="1"/>
    <col min="15339" max="15339" width="46.5546875" style="6" customWidth="1"/>
    <col min="15340" max="15341" width="9.109375" style="6" customWidth="1"/>
    <col min="15342" max="15342" width="16.5546875" style="6" customWidth="1"/>
    <col min="15343" max="15343" width="15" style="6" customWidth="1"/>
    <col min="15344" max="15345" width="17" style="6" customWidth="1"/>
    <col min="15346" max="15346" width="16.88671875" style="6" customWidth="1"/>
    <col min="15347" max="15347" width="18.33203125" style="6" customWidth="1"/>
    <col min="15348" max="15359" width="15" style="6"/>
    <col min="15360" max="15360" width="5.109375" style="6" customWidth="1"/>
    <col min="15361" max="15361" width="67.33203125" style="6" customWidth="1"/>
    <col min="15362" max="15363" width="9.109375" style="6" customWidth="1"/>
    <col min="15364" max="15364" width="17.33203125" style="6" customWidth="1"/>
    <col min="15365" max="15366" width="15" style="6" customWidth="1"/>
    <col min="15367" max="15367" width="16.6640625" style="6" customWidth="1"/>
    <col min="15368" max="15368" width="11.44140625" style="6" customWidth="1"/>
    <col min="15369" max="15369" width="17.6640625" style="6" customWidth="1"/>
    <col min="15370" max="15370" width="19.6640625" style="6" customWidth="1"/>
    <col min="15371" max="15593" width="9.109375" style="6" customWidth="1"/>
    <col min="15594" max="15594" width="8" style="6" customWidth="1"/>
    <col min="15595" max="15595" width="46.5546875" style="6" customWidth="1"/>
    <col min="15596" max="15597" width="9.109375" style="6" customWidth="1"/>
    <col min="15598" max="15598" width="16.5546875" style="6" customWidth="1"/>
    <col min="15599" max="15599" width="15" style="6" customWidth="1"/>
    <col min="15600" max="15601" width="17" style="6" customWidth="1"/>
    <col min="15602" max="15602" width="16.88671875" style="6" customWidth="1"/>
    <col min="15603" max="15603" width="18.33203125" style="6" customWidth="1"/>
    <col min="15604" max="15615" width="15" style="6"/>
    <col min="15616" max="15616" width="5.109375" style="6" customWidth="1"/>
    <col min="15617" max="15617" width="67.33203125" style="6" customWidth="1"/>
    <col min="15618" max="15619" width="9.109375" style="6" customWidth="1"/>
    <col min="15620" max="15620" width="17.33203125" style="6" customWidth="1"/>
    <col min="15621" max="15622" width="15" style="6" customWidth="1"/>
    <col min="15623" max="15623" width="16.6640625" style="6" customWidth="1"/>
    <col min="15624" max="15624" width="11.44140625" style="6" customWidth="1"/>
    <col min="15625" max="15625" width="17.6640625" style="6" customWidth="1"/>
    <col min="15626" max="15626" width="19.6640625" style="6" customWidth="1"/>
    <col min="15627" max="15849" width="9.109375" style="6" customWidth="1"/>
    <col min="15850" max="15850" width="8" style="6" customWidth="1"/>
    <col min="15851" max="15851" width="46.5546875" style="6" customWidth="1"/>
    <col min="15852" max="15853" width="9.109375" style="6" customWidth="1"/>
    <col min="15854" max="15854" width="16.5546875" style="6" customWidth="1"/>
    <col min="15855" max="15855" width="15" style="6" customWidth="1"/>
    <col min="15856" max="15857" width="17" style="6" customWidth="1"/>
    <col min="15858" max="15858" width="16.88671875" style="6" customWidth="1"/>
    <col min="15859" max="15859" width="18.33203125" style="6" customWidth="1"/>
    <col min="15860" max="15871" width="15" style="6"/>
    <col min="15872" max="15872" width="5.109375" style="6" customWidth="1"/>
    <col min="15873" max="15873" width="67.33203125" style="6" customWidth="1"/>
    <col min="15874" max="15875" width="9.109375" style="6" customWidth="1"/>
    <col min="15876" max="15876" width="17.33203125" style="6" customWidth="1"/>
    <col min="15877" max="15878" width="15" style="6" customWidth="1"/>
    <col min="15879" max="15879" width="16.6640625" style="6" customWidth="1"/>
    <col min="15880" max="15880" width="11.44140625" style="6" customWidth="1"/>
    <col min="15881" max="15881" width="17.6640625" style="6" customWidth="1"/>
    <col min="15882" max="15882" width="19.6640625" style="6" customWidth="1"/>
    <col min="15883" max="16105" width="9.109375" style="6" customWidth="1"/>
    <col min="16106" max="16106" width="8" style="6" customWidth="1"/>
    <col min="16107" max="16107" width="46.5546875" style="6" customWidth="1"/>
    <col min="16108" max="16109" width="9.109375" style="6" customWidth="1"/>
    <col min="16110" max="16110" width="16.5546875" style="6" customWidth="1"/>
    <col min="16111" max="16111" width="15" style="6" customWidth="1"/>
    <col min="16112" max="16113" width="17" style="6" customWidth="1"/>
    <col min="16114" max="16114" width="16.88671875" style="6" customWidth="1"/>
    <col min="16115" max="16115" width="18.33203125" style="6" customWidth="1"/>
    <col min="16116" max="16127" width="15" style="6"/>
    <col min="16128" max="16128" width="5.109375" style="6" customWidth="1"/>
    <col min="16129" max="16129" width="67.33203125" style="6" customWidth="1"/>
    <col min="16130" max="16131" width="9.109375" style="6" customWidth="1"/>
    <col min="16132" max="16132" width="17.33203125" style="6" customWidth="1"/>
    <col min="16133" max="16134" width="15" style="6" customWidth="1"/>
    <col min="16135" max="16135" width="16.6640625" style="6" customWidth="1"/>
    <col min="16136" max="16136" width="11.44140625" style="6" customWidth="1"/>
    <col min="16137" max="16137" width="17.6640625" style="6" customWidth="1"/>
    <col min="16138" max="16138" width="19.6640625" style="6" customWidth="1"/>
    <col min="16139" max="16361" width="9.109375" style="6" customWidth="1"/>
    <col min="16362" max="16362" width="8" style="6" customWidth="1"/>
    <col min="16363" max="16363" width="46.5546875" style="6" customWidth="1"/>
    <col min="16364" max="16365" width="9.109375" style="6" customWidth="1"/>
    <col min="16366" max="16366" width="16.5546875" style="6" customWidth="1"/>
    <col min="16367" max="16367" width="15" style="6" customWidth="1"/>
    <col min="16368" max="16384" width="17" style="6" customWidth="1"/>
  </cols>
  <sheetData>
    <row r="1" spans="1:13" s="1" customFormat="1" ht="21.75" customHeight="1">
      <c r="A1" s="96" t="s">
        <v>0</v>
      </c>
      <c r="B1" s="97"/>
      <c r="C1" s="96"/>
      <c r="D1" s="28"/>
      <c r="E1" s="29"/>
      <c r="F1" s="29"/>
      <c r="G1" s="29"/>
      <c r="H1" s="98" t="s">
        <v>53</v>
      </c>
      <c r="I1" s="98"/>
      <c r="J1" s="98"/>
      <c r="K1" s="98"/>
      <c r="L1" s="98"/>
    </row>
    <row r="2" spans="1:13" s="1" customFormat="1" ht="18" customHeight="1">
      <c r="A2" s="98" t="s">
        <v>1</v>
      </c>
      <c r="B2" s="99"/>
      <c r="C2" s="98"/>
      <c r="D2" s="29"/>
      <c r="E2" s="29"/>
      <c r="F2" s="29"/>
      <c r="G2" s="29"/>
      <c r="H2" s="98" t="s">
        <v>54</v>
      </c>
      <c r="I2" s="98"/>
      <c r="J2" s="98"/>
      <c r="K2" s="98"/>
      <c r="L2" s="98"/>
    </row>
    <row r="3" spans="1:13">
      <c r="A3" s="2"/>
      <c r="B3" s="3"/>
      <c r="C3" s="2"/>
      <c r="D3" s="2"/>
      <c r="I3" s="2"/>
      <c r="J3" s="4"/>
      <c r="K3" s="4"/>
      <c r="L3" s="5"/>
    </row>
    <row r="4" spans="1:13" ht="24.75" customHeight="1">
      <c r="A4" s="100" t="s">
        <v>61</v>
      </c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3" ht="4.5" customHeight="1">
      <c r="A5" s="30"/>
      <c r="B5" s="31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3" s="7" customFormat="1" ht="27.75" customHeight="1">
      <c r="A6" s="110" t="s">
        <v>2</v>
      </c>
      <c r="B6" s="110" t="s">
        <v>3</v>
      </c>
      <c r="C6" s="110" t="s">
        <v>4</v>
      </c>
      <c r="D6" s="111" t="s">
        <v>5</v>
      </c>
      <c r="E6" s="104" t="s">
        <v>6</v>
      </c>
      <c r="F6" s="104"/>
      <c r="G6" s="104"/>
      <c r="H6" s="104"/>
      <c r="I6" s="102" t="s">
        <v>7</v>
      </c>
      <c r="J6" s="104" t="s">
        <v>8</v>
      </c>
      <c r="K6" s="105" t="s">
        <v>9</v>
      </c>
      <c r="L6" s="107" t="s">
        <v>10</v>
      </c>
    </row>
    <row r="7" spans="1:13" s="7" customFormat="1" ht="35.25" customHeight="1">
      <c r="A7" s="110"/>
      <c r="B7" s="110"/>
      <c r="C7" s="110"/>
      <c r="D7" s="112"/>
      <c r="E7" s="8" t="s">
        <v>57</v>
      </c>
      <c r="F7" s="8" t="s">
        <v>58</v>
      </c>
      <c r="G7" s="8" t="s">
        <v>59</v>
      </c>
      <c r="H7" s="8" t="s">
        <v>11</v>
      </c>
      <c r="I7" s="103"/>
      <c r="J7" s="104"/>
      <c r="K7" s="106"/>
      <c r="L7" s="107"/>
    </row>
    <row r="8" spans="1:13" s="11" customFormat="1" ht="29.25" customHeight="1">
      <c r="A8" s="10">
        <v>1</v>
      </c>
      <c r="B8" s="12" t="e">
        <f>#REF!</f>
        <v>#REF!</v>
      </c>
      <c r="C8" s="27" t="e">
        <f>#REF!</f>
        <v>#REF!</v>
      </c>
      <c r="D8" s="27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4" t="e">
        <f>#REF!</f>
        <v>#REF!</v>
      </c>
      <c r="I8" s="15" t="e">
        <f>#REF!</f>
        <v>#REF!</v>
      </c>
      <c r="J8" s="14" t="e">
        <f>#REF!</f>
        <v>#REF!</v>
      </c>
      <c r="K8" s="14" t="e">
        <f>I8-J8</f>
        <v>#REF!</v>
      </c>
      <c r="L8" s="13"/>
      <c r="M8" s="9"/>
    </row>
    <row r="9" spans="1:13" s="11" customFormat="1" ht="29.25" customHeight="1">
      <c r="A9" s="10">
        <f>A8+1</f>
        <v>2</v>
      </c>
      <c r="B9" s="12" t="e">
        <f>#REF!</f>
        <v>#REF!</v>
      </c>
      <c r="C9" s="27" t="e">
        <f>#REF!</f>
        <v>#REF!</v>
      </c>
      <c r="D9" s="27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4" t="e">
        <f>#REF!</f>
        <v>#REF!</v>
      </c>
      <c r="I9" s="15" t="e">
        <f>#REF!</f>
        <v>#REF!</v>
      </c>
      <c r="J9" s="14" t="e">
        <f>#REF!</f>
        <v>#REF!</v>
      </c>
      <c r="K9" s="14" t="e">
        <f>I9-J9</f>
        <v>#REF!</v>
      </c>
      <c r="L9" s="13"/>
      <c r="M9" s="9"/>
    </row>
    <row r="10" spans="1:13" s="11" customFormat="1" ht="29.25" customHeight="1">
      <c r="A10" s="10">
        <f t="shared" ref="A10:A24" si="0">A9+1</f>
        <v>3</v>
      </c>
      <c r="B10" s="12" t="e">
        <f>#REF!</f>
        <v>#REF!</v>
      </c>
      <c r="C10" s="27" t="e">
        <f>#REF!</f>
        <v>#REF!</v>
      </c>
      <c r="D10" s="27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4" t="e">
        <f>#REF!</f>
        <v>#REF!</v>
      </c>
      <c r="I10" s="15" t="e">
        <f>#REF!</f>
        <v>#REF!</v>
      </c>
      <c r="J10" s="14" t="e">
        <f>#REF!</f>
        <v>#REF!</v>
      </c>
      <c r="K10" s="14" t="e">
        <f t="shared" ref="K10:K24" si="1">I10-J10</f>
        <v>#REF!</v>
      </c>
      <c r="L10" s="13"/>
      <c r="M10" s="9"/>
    </row>
    <row r="11" spans="1:13" s="11" customFormat="1" ht="29.25" customHeight="1">
      <c r="A11" s="10">
        <f t="shared" si="0"/>
        <v>4</v>
      </c>
      <c r="B11" s="12" t="e">
        <f>#REF!</f>
        <v>#REF!</v>
      </c>
      <c r="C11" s="27" t="e">
        <f>#REF!</f>
        <v>#REF!</v>
      </c>
      <c r="D11" s="27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4" t="e">
        <f>#REF!</f>
        <v>#REF!</v>
      </c>
      <c r="I11" s="15" t="e">
        <f>#REF!</f>
        <v>#REF!</v>
      </c>
      <c r="J11" s="14" t="e">
        <f>#REF!</f>
        <v>#REF!</v>
      </c>
      <c r="K11" s="14" t="e">
        <f t="shared" si="1"/>
        <v>#REF!</v>
      </c>
      <c r="L11" s="13" t="s">
        <v>63</v>
      </c>
      <c r="M11" s="9"/>
    </row>
    <row r="12" spans="1:13" s="11" customFormat="1" ht="29.25" customHeight="1">
      <c r="A12" s="10">
        <f t="shared" si="0"/>
        <v>5</v>
      </c>
      <c r="B12" s="12" t="e">
        <f>#REF!</f>
        <v>#REF!</v>
      </c>
      <c r="C12" s="27" t="e">
        <f>#REF!</f>
        <v>#REF!</v>
      </c>
      <c r="D12" s="27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4" t="e">
        <f>#REF!</f>
        <v>#REF!</v>
      </c>
      <c r="I12" s="15" t="e">
        <f>#REF!</f>
        <v>#REF!</v>
      </c>
      <c r="J12" s="14" t="e">
        <f>#REF!</f>
        <v>#REF!</v>
      </c>
      <c r="K12" s="14" t="e">
        <f t="shared" si="1"/>
        <v>#REF!</v>
      </c>
      <c r="L12" s="13"/>
      <c r="M12" s="9"/>
    </row>
    <row r="13" spans="1:13" s="11" customFormat="1" ht="29.25" customHeight="1">
      <c r="A13" s="10">
        <f t="shared" si="0"/>
        <v>6</v>
      </c>
      <c r="B13" s="12" t="e">
        <f>#REF!</f>
        <v>#REF!</v>
      </c>
      <c r="C13" s="27" t="e">
        <f>#REF!</f>
        <v>#REF!</v>
      </c>
      <c r="D13" s="27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4" t="e">
        <f>#REF!</f>
        <v>#REF!</v>
      </c>
      <c r="I13" s="15" t="e">
        <f>#REF!</f>
        <v>#REF!</v>
      </c>
      <c r="J13" s="14" t="e">
        <f>#REF!</f>
        <v>#REF!</v>
      </c>
      <c r="K13" s="14" t="e">
        <f t="shared" si="1"/>
        <v>#REF!</v>
      </c>
      <c r="L13" s="13"/>
      <c r="M13" s="9"/>
    </row>
    <row r="14" spans="1:13" s="11" customFormat="1" ht="29.25" customHeight="1">
      <c r="A14" s="10">
        <f t="shared" si="0"/>
        <v>7</v>
      </c>
      <c r="B14" s="12" t="e">
        <f>#REF!</f>
        <v>#REF!</v>
      </c>
      <c r="C14" s="27" t="e">
        <f>#REF!</f>
        <v>#REF!</v>
      </c>
      <c r="D14" s="27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4" t="e">
        <f>#REF!</f>
        <v>#REF!</v>
      </c>
      <c r="I14" s="15" t="e">
        <f>#REF!</f>
        <v>#REF!</v>
      </c>
      <c r="J14" s="14" t="e">
        <f>#REF!</f>
        <v>#REF!</v>
      </c>
      <c r="K14" s="14" t="e">
        <f t="shared" si="1"/>
        <v>#REF!</v>
      </c>
      <c r="L14" s="13"/>
      <c r="M14" s="9"/>
    </row>
    <row r="15" spans="1:13" s="11" customFormat="1" ht="29.25" customHeight="1">
      <c r="A15" s="10">
        <f t="shared" si="0"/>
        <v>8</v>
      </c>
      <c r="B15" s="12" t="e">
        <f>#REF!</f>
        <v>#REF!</v>
      </c>
      <c r="C15" s="27" t="e">
        <f>#REF!</f>
        <v>#REF!</v>
      </c>
      <c r="D15" s="27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4" t="e">
        <f>#REF!</f>
        <v>#REF!</v>
      </c>
      <c r="I15" s="15" t="e">
        <f>#REF!</f>
        <v>#REF!</v>
      </c>
      <c r="J15" s="14" t="e">
        <f>#REF!</f>
        <v>#REF!</v>
      </c>
      <c r="K15" s="14" t="e">
        <f t="shared" si="1"/>
        <v>#REF!</v>
      </c>
      <c r="L15" s="13"/>
      <c r="M15" s="9"/>
    </row>
    <row r="16" spans="1:13" s="11" customFormat="1" ht="29.25" customHeight="1">
      <c r="A16" s="10">
        <f t="shared" si="0"/>
        <v>9</v>
      </c>
      <c r="B16" s="12" t="e">
        <f>#REF!</f>
        <v>#REF!</v>
      </c>
      <c r="C16" s="27" t="e">
        <f>#REF!</f>
        <v>#REF!</v>
      </c>
      <c r="D16" s="27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4" t="e">
        <f>#REF!</f>
        <v>#REF!</v>
      </c>
      <c r="I16" s="15" t="e">
        <f>#REF!</f>
        <v>#REF!</v>
      </c>
      <c r="J16" s="14" t="e">
        <f>#REF!</f>
        <v>#REF!</v>
      </c>
      <c r="K16" s="14" t="e">
        <f t="shared" si="1"/>
        <v>#REF!</v>
      </c>
      <c r="L16" s="13"/>
      <c r="M16" s="9"/>
    </row>
    <row r="17" spans="1:13" s="11" customFormat="1" ht="29.25" customHeight="1">
      <c r="A17" s="10">
        <f t="shared" si="0"/>
        <v>10</v>
      </c>
      <c r="B17" s="12" t="e">
        <f>#REF!</f>
        <v>#REF!</v>
      </c>
      <c r="C17" s="27" t="e">
        <f>#REF!</f>
        <v>#REF!</v>
      </c>
      <c r="D17" s="27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4" t="e">
        <f>#REF!</f>
        <v>#REF!</v>
      </c>
      <c r="I17" s="15" t="e">
        <f>#REF!</f>
        <v>#REF!</v>
      </c>
      <c r="J17" s="14" t="e">
        <f>#REF!</f>
        <v>#REF!</v>
      </c>
      <c r="K17" s="14" t="e">
        <f t="shared" si="1"/>
        <v>#REF!</v>
      </c>
      <c r="L17" s="13"/>
      <c r="M17" s="9"/>
    </row>
    <row r="18" spans="1:13" s="11" customFormat="1" ht="29.25" customHeight="1">
      <c r="A18" s="10">
        <f t="shared" si="0"/>
        <v>11</v>
      </c>
      <c r="B18" s="12" t="e">
        <f>#REF!</f>
        <v>#REF!</v>
      </c>
      <c r="C18" s="27" t="e">
        <f>#REF!</f>
        <v>#REF!</v>
      </c>
      <c r="D18" s="27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4" t="e">
        <f>#REF!</f>
        <v>#REF!</v>
      </c>
      <c r="I18" s="15" t="e">
        <f>#REF!</f>
        <v>#REF!</v>
      </c>
      <c r="J18" s="14" t="e">
        <f>#REF!</f>
        <v>#REF!</v>
      </c>
      <c r="K18" s="14" t="e">
        <f t="shared" si="1"/>
        <v>#REF!</v>
      </c>
      <c r="L18" s="13" t="s">
        <v>62</v>
      </c>
      <c r="M18" s="9"/>
    </row>
    <row r="19" spans="1:13" s="11" customFormat="1" ht="29.25" customHeight="1">
      <c r="A19" s="10">
        <f t="shared" si="0"/>
        <v>12</v>
      </c>
      <c r="B19" s="12" t="e">
        <f>#REF!</f>
        <v>#REF!</v>
      </c>
      <c r="C19" s="27" t="e">
        <f>#REF!</f>
        <v>#REF!</v>
      </c>
      <c r="D19" s="27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4" t="e">
        <f>#REF!</f>
        <v>#REF!</v>
      </c>
      <c r="I19" s="15" t="e">
        <f>#REF!</f>
        <v>#REF!</v>
      </c>
      <c r="J19" s="14" t="e">
        <f>#REF!</f>
        <v>#REF!</v>
      </c>
      <c r="K19" s="14" t="e">
        <f t="shared" si="1"/>
        <v>#REF!</v>
      </c>
      <c r="L19" s="13"/>
      <c r="M19" s="9"/>
    </row>
    <row r="20" spans="1:13" s="11" customFormat="1" ht="29.25" customHeight="1">
      <c r="A20" s="10">
        <f t="shared" si="0"/>
        <v>13</v>
      </c>
      <c r="B20" s="12" t="e">
        <f>#REF!</f>
        <v>#REF!</v>
      </c>
      <c r="C20" s="27" t="e">
        <f>#REF!</f>
        <v>#REF!</v>
      </c>
      <c r="D20" s="27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4" t="e">
        <f>#REF!</f>
        <v>#REF!</v>
      </c>
      <c r="I20" s="15" t="e">
        <f>#REF!</f>
        <v>#REF!</v>
      </c>
      <c r="J20" s="14" t="e">
        <f>#REF!</f>
        <v>#REF!</v>
      </c>
      <c r="K20" s="14" t="e">
        <f t="shared" si="1"/>
        <v>#REF!</v>
      </c>
      <c r="L20" s="13"/>
      <c r="M20" s="9"/>
    </row>
    <row r="21" spans="1:13" s="11" customFormat="1" ht="29.25" customHeight="1">
      <c r="A21" s="10">
        <f t="shared" si="0"/>
        <v>14</v>
      </c>
      <c r="B21" s="12" t="e">
        <f>#REF!</f>
        <v>#REF!</v>
      </c>
      <c r="C21" s="27" t="e">
        <f>#REF!</f>
        <v>#REF!</v>
      </c>
      <c r="D21" s="27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4" t="e">
        <f>#REF!</f>
        <v>#REF!</v>
      </c>
      <c r="I21" s="15" t="e">
        <f>#REF!</f>
        <v>#REF!</v>
      </c>
      <c r="J21" s="14" t="e">
        <f>#REF!</f>
        <v>#REF!</v>
      </c>
      <c r="K21" s="14" t="e">
        <f t="shared" si="1"/>
        <v>#REF!</v>
      </c>
      <c r="L21" s="13"/>
      <c r="M21" s="9"/>
    </row>
    <row r="22" spans="1:13" s="11" customFormat="1" ht="29.25" customHeight="1">
      <c r="A22" s="10">
        <f t="shared" si="0"/>
        <v>15</v>
      </c>
      <c r="B22" s="12" t="e">
        <f>#REF!</f>
        <v>#REF!</v>
      </c>
      <c r="C22" s="27" t="e">
        <f>#REF!</f>
        <v>#REF!</v>
      </c>
      <c r="D22" s="27" t="e">
        <f>#REF!</f>
        <v>#REF!</v>
      </c>
      <c r="E22" s="13" t="e">
        <f>#REF!</f>
        <v>#REF!</v>
      </c>
      <c r="F22" s="13" t="e">
        <f>#REF!</f>
        <v>#REF!</v>
      </c>
      <c r="G22" s="13" t="e">
        <f>#REF!</f>
        <v>#REF!</v>
      </c>
      <c r="H22" s="14" t="e">
        <f>#REF!</f>
        <v>#REF!</v>
      </c>
      <c r="I22" s="15" t="e">
        <f>#REF!</f>
        <v>#REF!</v>
      </c>
      <c r="J22" s="14" t="e">
        <f>#REF!</f>
        <v>#REF!</v>
      </c>
      <c r="K22" s="14" t="e">
        <f t="shared" si="1"/>
        <v>#REF!</v>
      </c>
      <c r="L22" s="13"/>
      <c r="M22" s="9"/>
    </row>
    <row r="23" spans="1:13" s="11" customFormat="1" ht="29.25" customHeight="1">
      <c r="A23" s="10">
        <f t="shared" si="0"/>
        <v>16</v>
      </c>
      <c r="B23" s="12" t="e">
        <f>#REF!</f>
        <v>#REF!</v>
      </c>
      <c r="C23" s="27" t="e">
        <f>#REF!</f>
        <v>#REF!</v>
      </c>
      <c r="D23" s="27" t="e">
        <f>#REF!</f>
        <v>#REF!</v>
      </c>
      <c r="E23" s="13" t="e">
        <f>#REF!</f>
        <v>#REF!</v>
      </c>
      <c r="F23" s="13" t="e">
        <f>#REF!</f>
        <v>#REF!</v>
      </c>
      <c r="G23" s="13" t="e">
        <f>#REF!</f>
        <v>#REF!</v>
      </c>
      <c r="H23" s="14" t="e">
        <f>#REF!</f>
        <v>#REF!</v>
      </c>
      <c r="I23" s="15" t="e">
        <f>#REF!</f>
        <v>#REF!</v>
      </c>
      <c r="J23" s="14" t="e">
        <f>#REF!</f>
        <v>#REF!</v>
      </c>
      <c r="K23" s="14" t="e">
        <f t="shared" si="1"/>
        <v>#REF!</v>
      </c>
      <c r="L23" s="32"/>
      <c r="M23" s="9"/>
    </row>
    <row r="24" spans="1:13" s="11" customFormat="1" ht="29.25" customHeight="1">
      <c r="A24" s="10">
        <f t="shared" si="0"/>
        <v>17</v>
      </c>
      <c r="B24" s="12" t="e">
        <f>#REF!</f>
        <v>#REF!</v>
      </c>
      <c r="C24" s="27" t="e">
        <f>#REF!</f>
        <v>#REF!</v>
      </c>
      <c r="D24" s="27" t="e">
        <f>#REF!</f>
        <v>#REF!</v>
      </c>
      <c r="E24" s="13" t="e">
        <f>#REF!</f>
        <v>#REF!</v>
      </c>
      <c r="F24" s="13" t="e">
        <f>#REF!</f>
        <v>#REF!</v>
      </c>
      <c r="G24" s="13" t="e">
        <f>#REF!</f>
        <v>#REF!</v>
      </c>
      <c r="H24" s="14" t="e">
        <f>#REF!</f>
        <v>#REF!</v>
      </c>
      <c r="I24" s="15" t="e">
        <f>#REF!</f>
        <v>#REF!</v>
      </c>
      <c r="J24" s="14" t="e">
        <f>#REF!</f>
        <v>#REF!</v>
      </c>
      <c r="K24" s="14" t="e">
        <f t="shared" si="1"/>
        <v>#REF!</v>
      </c>
      <c r="L24" s="13"/>
      <c r="M24" s="9"/>
    </row>
    <row r="25" spans="1:13" s="19" customFormat="1" ht="22.5" customHeight="1">
      <c r="A25" s="16"/>
      <c r="B25" s="25" t="s">
        <v>60</v>
      </c>
      <c r="C25" s="16"/>
      <c r="D25" s="16"/>
      <c r="E25" s="18" t="e">
        <f t="shared" ref="E25:K25" si="2">SUBTOTAL(9,E8:E24)</f>
        <v>#REF!</v>
      </c>
      <c r="F25" s="18" t="e">
        <f t="shared" si="2"/>
        <v>#REF!</v>
      </c>
      <c r="G25" s="18" t="e">
        <f t="shared" si="2"/>
        <v>#REF!</v>
      </c>
      <c r="H25" s="18" t="e">
        <f t="shared" si="2"/>
        <v>#REF!</v>
      </c>
      <c r="I25" s="18" t="e">
        <f t="shared" si="2"/>
        <v>#REF!</v>
      </c>
      <c r="J25" s="18" t="e">
        <f t="shared" si="2"/>
        <v>#REF!</v>
      </c>
      <c r="K25" s="18" t="e">
        <f t="shared" si="2"/>
        <v>#REF!</v>
      </c>
      <c r="L25" s="17"/>
      <c r="M25" s="9"/>
    </row>
    <row r="26" spans="1:13" ht="11.25" customHeight="1">
      <c r="B26" s="6"/>
    </row>
    <row r="27" spans="1:13" s="24" customFormat="1" ht="23.25" customHeight="1">
      <c r="A27" s="108" t="s">
        <v>56</v>
      </c>
      <c r="B27" s="108"/>
      <c r="C27" s="108"/>
      <c r="D27" s="108"/>
      <c r="E27" s="108"/>
      <c r="F27" s="108"/>
      <c r="G27" s="109" t="s">
        <v>1</v>
      </c>
      <c r="H27" s="109"/>
      <c r="I27" s="109"/>
      <c r="J27" s="109"/>
      <c r="K27" s="109"/>
      <c r="L27" s="109"/>
    </row>
  </sheetData>
  <autoFilter ref="A7:M24" xr:uid="{00000000-0009-0000-0000-00000D000000}"/>
  <mergeCells count="16">
    <mergeCell ref="I6:I7"/>
    <mergeCell ref="J6:J7"/>
    <mergeCell ref="K6:K7"/>
    <mergeCell ref="L6:L7"/>
    <mergeCell ref="A27:F27"/>
    <mergeCell ref="G27:L27"/>
    <mergeCell ref="A6:A7"/>
    <mergeCell ref="B6:B7"/>
    <mergeCell ref="C6:C7"/>
    <mergeCell ref="D6:D7"/>
    <mergeCell ref="E6:H6"/>
    <mergeCell ref="A1:C1"/>
    <mergeCell ref="H1:L1"/>
    <mergeCell ref="A2:C2"/>
    <mergeCell ref="H2:L2"/>
    <mergeCell ref="A4:L4"/>
  </mergeCells>
  <pageMargins left="0.23622047244094499" right="0.23622047244094499" top="0.2" bottom="0.28000000000000003" header="0.24" footer="0.31496062992126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BM bao cao</vt:lpstr>
      <vt:lpstr>Ke khai thang 03.2024</vt:lpstr>
      <vt:lpstr>Ke khai thang 02.2024</vt:lpstr>
      <vt:lpstr>Ke khai thang 01.2024</vt:lpstr>
      <vt:lpstr>TH doi chieu T10.02</vt:lpstr>
      <vt:lpstr>TH doi chieu T09.02</vt:lpstr>
      <vt:lpstr>TH doi chieu T08.02</vt:lpstr>
      <vt:lpstr>TH doi chieu T07.02</vt:lpstr>
      <vt:lpstr>TH doi chieu T06.02</vt:lpstr>
      <vt:lpstr>TH doi chieu T05.02</vt:lpstr>
      <vt:lpstr>TH doi chieu T04.02</vt:lpstr>
      <vt:lpstr>TH doi chieu T03.02</vt:lpstr>
      <vt:lpstr>TH doi chieu T02.02</vt:lpstr>
      <vt:lpstr>TH doi chieu T01.02</vt:lpstr>
      <vt:lpstr>'BM bao cao'!Print_Area</vt:lpstr>
      <vt:lpstr>'Ke khai thang 01.2024'!Print_Area</vt:lpstr>
      <vt:lpstr>'Ke khai thang 02.2024'!Print_Area</vt:lpstr>
      <vt:lpstr>'Ke khai thang 03.2024'!Print_Area</vt:lpstr>
      <vt:lpstr>'TH doi chieu T01.02'!Print_Area</vt:lpstr>
      <vt:lpstr>'TH doi chieu T02.02'!Print_Area</vt:lpstr>
      <vt:lpstr>'TH doi chieu T03.02'!Print_Area</vt:lpstr>
      <vt:lpstr>'TH doi chieu T04.02'!Print_Area</vt:lpstr>
      <vt:lpstr>'TH doi chieu T05.02'!Print_Area</vt:lpstr>
      <vt:lpstr>'TH doi chieu T06.02'!Print_Area</vt:lpstr>
      <vt:lpstr>'TH doi chieu T07.02'!Print_Area</vt:lpstr>
      <vt:lpstr>'TH doi chieu T08.02'!Print_Area</vt:lpstr>
      <vt:lpstr>'TH doi chieu T09.02'!Print_Area</vt:lpstr>
      <vt:lpstr>'TH doi chieu T10.02'!Print_Area</vt:lpstr>
      <vt:lpstr>'TH doi chieu T01.02'!Print_Titles</vt:lpstr>
      <vt:lpstr>'TH doi chieu T02.02'!Print_Titles</vt:lpstr>
      <vt:lpstr>'TH doi chieu T03.02'!Print_Titles</vt:lpstr>
      <vt:lpstr>'TH doi chieu T04.02'!Print_Titles</vt:lpstr>
      <vt:lpstr>'TH doi chieu T05.02'!Print_Titles</vt:lpstr>
      <vt:lpstr>'TH doi chieu T06.02'!Print_Titles</vt:lpstr>
      <vt:lpstr>'TH doi chieu T07.02'!Print_Titles</vt:lpstr>
      <vt:lpstr>'TH doi chieu T08.02'!Print_Titles</vt:lpstr>
      <vt:lpstr>'TH doi chieu T09.02'!Print_Titles</vt:lpstr>
      <vt:lpstr>'TH doi chieu T10.02'!Print_Titles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Phạm Hoàng Long</cp:lastModifiedBy>
  <cp:lastPrinted>2024-05-20T09:07:50Z</cp:lastPrinted>
  <dcterms:created xsi:type="dcterms:W3CDTF">2019-07-04T04:07:57Z</dcterms:created>
  <dcterms:modified xsi:type="dcterms:W3CDTF">2025-05-21T04:24:57Z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BMPSD">
    <vt:lpwstr>K</vt:lpwstr>
  </property>
</Properties>
</file>