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bienn\project\product\source\service\hrm-service\src\main\resources\template\export\"/>
    </mc:Choice>
  </mc:AlternateContent>
  <xr:revisionPtr revIDLastSave="0" documentId="13_ncr:1_{F4114083-365F-41EA-88EE-0CF7BEA331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ước hạn" sheetId="2" r:id="rId1"/>
  </sheets>
  <externalReferences>
    <externalReference r:id="rId2"/>
    <externalReference r:id="rId3"/>
  </externalReferences>
  <definedNames>
    <definedName name="_xlnm._FilterDatabase" localSheetId="0" hidden="1">'Trước hạn'!$A$5:$AF$12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" l="1"/>
  <c r="B11" i="2"/>
  <c r="T11" i="2" l="1"/>
  <c r="AC11" i="2"/>
  <c r="X11" i="2"/>
  <c r="AB11" i="2"/>
  <c r="Y11" i="2"/>
  <c r="W11" i="2"/>
  <c r="V11" i="2"/>
  <c r="O11" i="2"/>
  <c r="R11" i="2"/>
  <c r="S11" i="2"/>
  <c r="Q11" i="2"/>
  <c r="P11" i="2"/>
  <c r="AD7" i="2" l="1"/>
  <c r="AD12" i="2"/>
  <c r="AD9" i="2"/>
  <c r="AD11" i="2"/>
</calcChain>
</file>

<file path=xl/sharedStrings.xml><?xml version="1.0" encoding="utf-8"?>
<sst xmlns="http://schemas.openxmlformats.org/spreadsheetml/2006/main" count="167" uniqueCount="98">
  <si>
    <t>STT</t>
  </si>
  <si>
    <t>Họ và Tên</t>
  </si>
  <si>
    <t xml:space="preserve">Chức 
danh </t>
  </si>
  <si>
    <t>Năm</t>
  </si>
  <si>
    <t>Tháng</t>
  </si>
  <si>
    <t>HSL</t>
  </si>
  <si>
    <t>CV</t>
  </si>
  <si>
    <t>GVC</t>
  </si>
  <si>
    <t>GV</t>
  </si>
  <si>
    <t>Võ Hạnh Quyên</t>
  </si>
  <si>
    <t>GVCC</t>
  </si>
  <si>
    <t>CVC</t>
  </si>
  <si>
    <t>KTV</t>
  </si>
  <si>
    <t>NV</t>
  </si>
  <si>
    <t>CS</t>
  </si>
  <si>
    <t>TVV</t>
  </si>
  <si>
    <t>TVVC</t>
  </si>
  <si>
    <t>NCV</t>
  </si>
  <si>
    <t>NCVC</t>
  </si>
  <si>
    <t>ĐD</t>
  </si>
  <si>
    <t>NVLX</t>
  </si>
  <si>
    <t>Đơn vị</t>
  </si>
  <si>
    <t>Viện Quản trị kinh doanh</t>
  </si>
  <si>
    <t>Mã số</t>
  </si>
  <si>
    <t>V.07.01.01</t>
  </si>
  <si>
    <t>01.004</t>
  </si>
  <si>
    <t>01.003</t>
  </si>
  <si>
    <t>01.002</t>
  </si>
  <si>
    <t>V.08.05.12</t>
  </si>
  <si>
    <t>V.07.01.03</t>
  </si>
  <si>
    <t>V.07.01.02</t>
  </si>
  <si>
    <t>06.031</t>
  </si>
  <si>
    <t>01.007</t>
  </si>
  <si>
    <t>01.010</t>
  </si>
  <si>
    <t>V.10.02.06</t>
  </si>
  <si>
    <t>V.10.02.05</t>
  </si>
  <si>
    <t>V.05.01.03</t>
  </si>
  <si>
    <t>Bậc, HSL, PCTNVK hiện hưởng</t>
  </si>
  <si>
    <t>Bậc, HSL, PCTNVK dự kiến nâng</t>
  </si>
  <si>
    <t>Bậc</t>
  </si>
  <si>
    <t>Thời điểm xếp</t>
  </si>
  <si>
    <t>Thành tích đạt được trong giai đoạn</t>
  </si>
  <si>
    <t>LĐTT</t>
  </si>
  <si>
    <t>GKHT</t>
  </si>
  <si>
    <t>HTXSNV</t>
  </si>
  <si>
    <t>CSTĐCS</t>
  </si>
  <si>
    <t>BKBT</t>
  </si>
  <si>
    <t>Nhà giáo tiêu biểu</t>
  </si>
  <si>
    <t>Giáo viên giỏi NVSP toàn quốc</t>
  </si>
  <si>
    <t>CSTĐCB</t>
  </si>
  <si>
    <t>BKCP</t>
  </si>
  <si>
    <t>CSTĐTQ</t>
  </si>
  <si>
    <t>HCLĐ hạng Ba</t>
  </si>
  <si>
    <t>HCLĐ hạng Nhì</t>
  </si>
  <si>
    <t>NGƯT</t>
  </si>
  <si>
    <t>NGND</t>
  </si>
  <si>
    <t>Ghi chú</t>
  </si>
  <si>
    <t>V.05.01.02</t>
  </si>
  <si>
    <t>Mã VC</t>
  </si>
  <si>
    <t>KPI mức A1</t>
  </si>
  <si>
    <t>II</t>
  </si>
  <si>
    <t>I</t>
  </si>
  <si>
    <t>Tổng điểm</t>
  </si>
  <si>
    <t>Xếp hạng</t>
  </si>
  <si>
    <t>${stt}</t>
  </si>
  <si>
    <t>${ma_nhan_vien}</t>
  </si>
  <si>
    <t>${ho_ten}</t>
  </si>
  <si>
    <t>${don_vi}</t>
  </si>
  <si>
    <t>${viet_tat_ngach}</t>
  </si>
  <si>
    <t>${ma_ngach}</t>
  </si>
  <si>
    <t>${bac}</t>
  </si>
  <si>
    <t>${he_so}</t>
  </si>
  <si>
    <t>${thang_huong}</t>
  </si>
  <si>
    <t>${nam_huong}</t>
  </si>
  <si>
    <t>${bac_nang}</t>
  </si>
  <si>
    <t>${he_so_nang}</t>
  </si>
  <si>
    <t>${thang_xep}</t>
  </si>
  <si>
    <t>${nam_xep}</t>
  </si>
  <si>
    <t>${ldtt}</t>
  </si>
  <si>
    <t>${gkht}</t>
  </si>
  <si>
    <t>${htxsnv}</t>
  </si>
  <si>
    <t>${kpi_a1}</t>
  </si>
  <si>
    <t>${cstdcs}</t>
  </si>
  <si>
    <t>${bk_bo_truong}</t>
  </si>
  <si>
    <t>${nha_giao_tieu_bieu}</t>
  </si>
  <si>
    <t>${gv_gioi_toan_quoc}</t>
  </si>
  <si>
    <t>${cstd_cap_bo}</t>
  </si>
  <si>
    <t>${bang_khen_chinh_phu}</t>
  </si>
  <si>
    <t>${cstd_toan_quoc}</t>
  </si>
  <si>
    <t>${hcld_hang_ba}</t>
  </si>
  <si>
    <t>${hcld_hang_nhi}</t>
  </si>
  <si>
    <t>${nha_giao_uu_tu}</t>
  </si>
  <si>
    <t>${nha_giao_nhan_dan}</t>
  </si>
  <si>
    <t>Danh sách đề xuất nâng bậc lương trước hạn</t>
  </si>
  <si>
    <t>Danh sách đề xuất nâng bậc lương thường xuyên</t>
  </si>
  <si>
    <t>III</t>
  </si>
  <si>
    <t>Danh sách đề xuất nâng thâm niên vượt khung</t>
  </si>
  <si>
    <t>${ghi_chu}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</si>
</sst>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163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6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934200" y="542073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34200" y="542073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0</xdr:colOff>
      <xdr:row>12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9667875" y="981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U%20LIEU\1.%20CH&#7870;%20&#272;&#7896;%20CH&#205;NH%20S&#193;CH\1.%20L&#431;&#416;NG%20NH&#192;%20N&#431;&#7898;C\Dot%202,%202024\C&#244;%20Hu&#7879;%20cung%20c&#7845;p%20-%20D&#7920;%20&#193;N%20T&#272;KT%20(6%20n&#259;m)%2018.12-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U%20LIEU\1.%20CH&#7870;%20&#272;&#7896;%20CH&#205;NH%20S&#193;CH\1.%20L&#431;&#416;NG%20NH&#192;%20N&#431;&#7898;C\Dot%202,%202024\Thi%20&#273;ua,%20khen%20th&#432;&#417;ng\DS%20k&#232;m%20theo%20Q&#272;%20&#272;GXL&amp;%20TDKT%2023-24\Danh%20s&#225;ch%20k&#7871;t%20qu&#7843;%20x&#7871;p%20lo&#7841;i%20KPI%20n&#259;m%20h&#7885;c%202023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TĐ cấp Trường"/>
      <sheetName val="BẬC CAO 05.11.2024"/>
    </sheetNames>
    <sheetDataSet>
      <sheetData sheetId="0">
        <row r="5">
          <cell r="C5" t="str">
            <v>Bùi Hữu Đức</v>
          </cell>
          <cell r="D5">
            <v>1001</v>
          </cell>
          <cell r="E5" t="str">
            <v>CT HĐT, BTĐU</v>
          </cell>
          <cell r="AO5">
            <v>1</v>
          </cell>
          <cell r="AP5">
            <v>1</v>
          </cell>
          <cell r="AQ5">
            <v>1</v>
          </cell>
          <cell r="AV5">
            <v>1</v>
          </cell>
          <cell r="AW5">
            <v>1</v>
          </cell>
          <cell r="AX5">
            <v>1</v>
          </cell>
          <cell r="BC5">
            <v>2</v>
          </cell>
          <cell r="BD5">
            <v>2</v>
          </cell>
          <cell r="BE5">
            <v>2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</row>
        <row r="6">
          <cell r="C6" t="str">
            <v>Nguyễn Hoàng</v>
          </cell>
          <cell r="D6">
            <v>1002</v>
          </cell>
          <cell r="E6" t="str">
            <v>Hiệu trưởng, PBTĐU</v>
          </cell>
          <cell r="F6">
            <v>1</v>
          </cell>
          <cell r="G6">
            <v>1</v>
          </cell>
          <cell r="H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H6">
            <v>1</v>
          </cell>
          <cell r="AI6">
            <v>1</v>
          </cell>
          <cell r="AJ6">
            <v>1</v>
          </cell>
          <cell r="AO6">
            <v>1</v>
          </cell>
          <cell r="AP6">
            <v>1</v>
          </cell>
          <cell r="AQ6">
            <v>1</v>
          </cell>
          <cell r="AV6">
            <v>1</v>
          </cell>
          <cell r="AW6">
            <v>1</v>
          </cell>
          <cell r="AX6">
            <v>1</v>
          </cell>
          <cell r="BC6">
            <v>6</v>
          </cell>
          <cell r="BD6">
            <v>6</v>
          </cell>
          <cell r="BE6">
            <v>6</v>
          </cell>
          <cell r="BF6">
            <v>0</v>
          </cell>
          <cell r="BG6">
            <v>0</v>
          </cell>
          <cell r="BH6">
            <v>0</v>
          </cell>
          <cell r="BI6">
            <v>2</v>
          </cell>
        </row>
        <row r="7">
          <cell r="C7" t="str">
            <v>Nguyễn Hoàng Việt</v>
          </cell>
          <cell r="D7">
            <v>1004</v>
          </cell>
          <cell r="E7" t="str">
            <v>Phó Hiệu trưởng</v>
          </cell>
          <cell r="F7">
            <v>1</v>
          </cell>
          <cell r="G7">
            <v>1</v>
          </cell>
          <cell r="H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BB7">
            <v>1</v>
          </cell>
          <cell r="BC7">
            <v>6</v>
          </cell>
          <cell r="BD7">
            <v>6</v>
          </cell>
          <cell r="BE7">
            <v>6</v>
          </cell>
          <cell r="BF7">
            <v>0</v>
          </cell>
          <cell r="BG7">
            <v>0</v>
          </cell>
          <cell r="BH7">
            <v>0</v>
          </cell>
          <cell r="BI7">
            <v>6</v>
          </cell>
        </row>
        <row r="8">
          <cell r="C8" t="str">
            <v>Nguyễn Đức Nhuận</v>
          </cell>
          <cell r="D8">
            <v>1597</v>
          </cell>
          <cell r="E8" t="str">
            <v>Phó Hiệu trưởng</v>
          </cell>
          <cell r="F8">
            <v>1</v>
          </cell>
          <cell r="G8">
            <v>1</v>
          </cell>
          <cell r="H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N8">
            <v>1</v>
          </cell>
          <cell r="AP8">
            <v>1</v>
          </cell>
          <cell r="AV8">
            <v>1</v>
          </cell>
          <cell r="AW8">
            <v>1</v>
          </cell>
          <cell r="AX8">
            <v>1</v>
          </cell>
          <cell r="BB8">
            <v>1</v>
          </cell>
          <cell r="BC8">
            <v>5</v>
          </cell>
          <cell r="BD8">
            <v>6</v>
          </cell>
          <cell r="BE8">
            <v>5</v>
          </cell>
          <cell r="BF8">
            <v>0</v>
          </cell>
          <cell r="BG8">
            <v>0</v>
          </cell>
          <cell r="BH8">
            <v>0</v>
          </cell>
          <cell r="BI8">
            <v>5</v>
          </cell>
        </row>
        <row r="9">
          <cell r="C9" t="str">
            <v>Hà Văn Sự</v>
          </cell>
          <cell r="D9">
            <v>1005</v>
          </cell>
          <cell r="E9" t="str">
            <v>Phó Hiệu trưởng</v>
          </cell>
          <cell r="F9">
            <v>1</v>
          </cell>
          <cell r="G9">
            <v>1</v>
          </cell>
          <cell r="H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N9">
            <v>1</v>
          </cell>
          <cell r="AO9">
            <v>1</v>
          </cell>
          <cell r="AP9">
            <v>1</v>
          </cell>
          <cell r="AQ9">
            <v>1</v>
          </cell>
          <cell r="AU9">
            <v>1</v>
          </cell>
          <cell r="AV9">
            <v>1</v>
          </cell>
          <cell r="AW9">
            <v>1</v>
          </cell>
          <cell r="AX9">
            <v>1</v>
          </cell>
          <cell r="BB9">
            <v>1</v>
          </cell>
          <cell r="BC9">
            <v>6</v>
          </cell>
          <cell r="BD9">
            <v>6</v>
          </cell>
          <cell r="BE9">
            <v>6</v>
          </cell>
          <cell r="BF9">
            <v>0</v>
          </cell>
          <cell r="BG9">
            <v>0</v>
          </cell>
          <cell r="BH9">
            <v>0</v>
          </cell>
          <cell r="BI9">
            <v>6</v>
          </cell>
        </row>
        <row r="10">
          <cell r="C10" t="str">
            <v>Trần Thị Hoàng Hà</v>
          </cell>
          <cell r="D10">
            <v>1006</v>
          </cell>
          <cell r="E10" t="str">
            <v>Viện Trưởng, BTCB</v>
          </cell>
          <cell r="F10">
            <v>1</v>
          </cell>
          <cell r="G10">
            <v>1</v>
          </cell>
          <cell r="H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N10">
            <v>1</v>
          </cell>
          <cell r="AP10">
            <v>1</v>
          </cell>
          <cell r="AQ10">
            <v>1</v>
          </cell>
          <cell r="AU10">
            <v>1</v>
          </cell>
          <cell r="AW10">
            <v>1</v>
          </cell>
          <cell r="AY10">
            <v>1</v>
          </cell>
          <cell r="BC10">
            <v>3</v>
          </cell>
          <cell r="BD10">
            <v>5</v>
          </cell>
          <cell r="BE10">
            <v>4</v>
          </cell>
          <cell r="BF10">
            <v>1</v>
          </cell>
          <cell r="BG10">
            <v>0</v>
          </cell>
          <cell r="BH10">
            <v>0</v>
          </cell>
          <cell r="BI10">
            <v>4</v>
          </cell>
        </row>
        <row r="11">
          <cell r="C11" t="str">
            <v>Nguyễn Thị Thanh Nhàn</v>
          </cell>
          <cell r="D11">
            <v>1007</v>
          </cell>
          <cell r="G11">
            <v>1</v>
          </cell>
          <cell r="H11">
            <v>1</v>
          </cell>
          <cell r="L11">
            <v>1</v>
          </cell>
          <cell r="N11">
            <v>1</v>
          </cell>
          <cell r="P11">
            <v>1</v>
          </cell>
          <cell r="U11">
            <v>1</v>
          </cell>
          <cell r="V11">
            <v>1</v>
          </cell>
          <cell r="Z11">
            <v>1</v>
          </cell>
          <cell r="AB11">
            <v>1</v>
          </cell>
          <cell r="AC11">
            <v>1</v>
          </cell>
          <cell r="AG11">
            <v>1</v>
          </cell>
          <cell r="AI11">
            <v>1</v>
          </cell>
          <cell r="AJ11">
            <v>1</v>
          </cell>
          <cell r="AN11">
            <v>1</v>
          </cell>
          <cell r="AP11">
            <v>1</v>
          </cell>
          <cell r="AV11">
            <v>1</v>
          </cell>
          <cell r="AW11">
            <v>1</v>
          </cell>
          <cell r="AX11">
            <v>1</v>
          </cell>
          <cell r="BB11">
            <v>1</v>
          </cell>
          <cell r="BC11">
            <v>1</v>
          </cell>
          <cell r="BD11">
            <v>6</v>
          </cell>
          <cell r="BE11">
            <v>4</v>
          </cell>
          <cell r="BF11">
            <v>1</v>
          </cell>
          <cell r="BG11">
            <v>0</v>
          </cell>
          <cell r="BH11">
            <v>0</v>
          </cell>
          <cell r="BI11">
            <v>4</v>
          </cell>
        </row>
        <row r="12">
          <cell r="C12" t="str">
            <v>Phạm Trung Tiến</v>
          </cell>
          <cell r="D12">
            <v>1008</v>
          </cell>
          <cell r="E12" t="str">
            <v>Trưởng bộ môn</v>
          </cell>
          <cell r="G12">
            <v>1</v>
          </cell>
          <cell r="I12">
            <v>1</v>
          </cell>
          <cell r="N12">
            <v>1</v>
          </cell>
          <cell r="P12">
            <v>1</v>
          </cell>
          <cell r="U12">
            <v>1</v>
          </cell>
          <cell r="V12">
            <v>1</v>
          </cell>
          <cell r="AA12">
            <v>1</v>
          </cell>
          <cell r="AB12">
            <v>1</v>
          </cell>
          <cell r="AC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N12">
            <v>1</v>
          </cell>
          <cell r="AO12">
            <v>1</v>
          </cell>
          <cell r="AP12">
            <v>1</v>
          </cell>
          <cell r="AQ12">
            <v>1</v>
          </cell>
          <cell r="AU12">
            <v>1</v>
          </cell>
          <cell r="AV12">
            <v>1</v>
          </cell>
          <cell r="AW12">
            <v>1</v>
          </cell>
          <cell r="AY12">
            <v>1</v>
          </cell>
          <cell r="BB12">
            <v>1</v>
          </cell>
          <cell r="BC12">
            <v>4</v>
          </cell>
          <cell r="BD12">
            <v>6</v>
          </cell>
          <cell r="BE12">
            <v>4</v>
          </cell>
          <cell r="BF12">
            <v>2</v>
          </cell>
          <cell r="BG12">
            <v>0</v>
          </cell>
          <cell r="BH12">
            <v>0</v>
          </cell>
          <cell r="BI12">
            <v>4</v>
          </cell>
        </row>
        <row r="13">
          <cell r="C13" t="str">
            <v>Đào Hồng Hạnh</v>
          </cell>
          <cell r="D13">
            <v>1009</v>
          </cell>
          <cell r="G13">
            <v>1</v>
          </cell>
          <cell r="I13">
            <v>1</v>
          </cell>
          <cell r="Q13">
            <v>1</v>
          </cell>
          <cell r="U13">
            <v>1</v>
          </cell>
          <cell r="V13">
            <v>1</v>
          </cell>
          <cell r="Z13">
            <v>1</v>
          </cell>
          <cell r="AB13">
            <v>1</v>
          </cell>
          <cell r="AC13">
            <v>1</v>
          </cell>
          <cell r="AG13">
            <v>1</v>
          </cell>
          <cell r="AI13">
            <v>1</v>
          </cell>
          <cell r="AK13">
            <v>1</v>
          </cell>
          <cell r="AP13">
            <v>1</v>
          </cell>
          <cell r="AW13">
            <v>1</v>
          </cell>
          <cell r="AY13">
            <v>1</v>
          </cell>
          <cell r="BC13">
            <v>0</v>
          </cell>
          <cell r="BD13">
            <v>5</v>
          </cell>
          <cell r="BE13">
            <v>2</v>
          </cell>
          <cell r="BF13">
            <v>2</v>
          </cell>
          <cell r="BG13">
            <v>1</v>
          </cell>
          <cell r="BH13">
            <v>0</v>
          </cell>
          <cell r="BI13">
            <v>2</v>
          </cell>
        </row>
        <row r="14">
          <cell r="C14" t="str">
            <v>Trịnh Đức Duy</v>
          </cell>
          <cell r="D14">
            <v>1012</v>
          </cell>
          <cell r="E14" t="str">
            <v>BTCĐ</v>
          </cell>
          <cell r="G14">
            <v>1</v>
          </cell>
          <cell r="H14">
            <v>1</v>
          </cell>
          <cell r="L14">
            <v>1</v>
          </cell>
          <cell r="N14">
            <v>1</v>
          </cell>
          <cell r="P14">
            <v>1</v>
          </cell>
          <cell r="U14">
            <v>1</v>
          </cell>
          <cell r="V14">
            <v>1</v>
          </cell>
          <cell r="Z14">
            <v>1</v>
          </cell>
          <cell r="AB14">
            <v>1</v>
          </cell>
          <cell r="AC14">
            <v>1</v>
          </cell>
          <cell r="AG14">
            <v>1</v>
          </cell>
          <cell r="AI14">
            <v>1</v>
          </cell>
          <cell r="AK14">
            <v>1</v>
          </cell>
          <cell r="AP14">
            <v>1</v>
          </cell>
          <cell r="AQ14">
            <v>1</v>
          </cell>
          <cell r="AU14">
            <v>1</v>
          </cell>
          <cell r="AW14">
            <v>1</v>
          </cell>
          <cell r="AY14">
            <v>1</v>
          </cell>
          <cell r="BC14">
            <v>0</v>
          </cell>
          <cell r="BD14">
            <v>6</v>
          </cell>
          <cell r="BE14">
            <v>3</v>
          </cell>
          <cell r="BF14">
            <v>3</v>
          </cell>
          <cell r="BG14">
            <v>0</v>
          </cell>
          <cell r="BH14">
            <v>0</v>
          </cell>
          <cell r="BI14">
            <v>3</v>
          </cell>
        </row>
        <row r="15">
          <cell r="C15" t="str">
            <v>Nguyễn Thị Quỳnh Mai</v>
          </cell>
          <cell r="D15">
            <v>1013</v>
          </cell>
          <cell r="G15">
            <v>1</v>
          </cell>
          <cell r="I15">
            <v>1</v>
          </cell>
          <cell r="N15">
            <v>1</v>
          </cell>
          <cell r="P15">
            <v>1</v>
          </cell>
          <cell r="U15">
            <v>1</v>
          </cell>
          <cell r="V15">
            <v>1</v>
          </cell>
          <cell r="Z15">
            <v>1</v>
          </cell>
          <cell r="AB15">
            <v>1</v>
          </cell>
          <cell r="AD15">
            <v>1</v>
          </cell>
          <cell r="AI15">
            <v>1</v>
          </cell>
          <cell r="AJ15">
            <v>1</v>
          </cell>
          <cell r="AN15">
            <v>1</v>
          </cell>
          <cell r="AP15">
            <v>1</v>
          </cell>
          <cell r="AV15">
            <v>1</v>
          </cell>
          <cell r="AW15">
            <v>1</v>
          </cell>
          <cell r="AY15">
            <v>1</v>
          </cell>
          <cell r="BB15">
            <v>1</v>
          </cell>
          <cell r="BC15">
            <v>1</v>
          </cell>
          <cell r="BD15">
            <v>6</v>
          </cell>
          <cell r="BE15">
            <v>2</v>
          </cell>
          <cell r="BF15">
            <v>3</v>
          </cell>
          <cell r="BG15">
            <v>0</v>
          </cell>
          <cell r="BH15">
            <v>0</v>
          </cell>
          <cell r="BI15">
            <v>3</v>
          </cell>
        </row>
        <row r="16">
          <cell r="C16" t="str">
            <v>Chu Thị Hà</v>
          </cell>
          <cell r="D16">
            <v>1014</v>
          </cell>
          <cell r="G16">
            <v>1</v>
          </cell>
          <cell r="I16">
            <v>1</v>
          </cell>
          <cell r="N16">
            <v>1</v>
          </cell>
          <cell r="P16">
            <v>1</v>
          </cell>
          <cell r="U16">
            <v>1</v>
          </cell>
          <cell r="V16">
            <v>1</v>
          </cell>
          <cell r="Z16">
            <v>1</v>
          </cell>
          <cell r="AB16">
            <v>1</v>
          </cell>
          <cell r="AC16">
            <v>1</v>
          </cell>
          <cell r="AI16">
            <v>1</v>
          </cell>
          <cell r="AK16">
            <v>1</v>
          </cell>
          <cell r="AP16">
            <v>1</v>
          </cell>
          <cell r="AW16">
            <v>1</v>
          </cell>
          <cell r="AY16">
            <v>1</v>
          </cell>
          <cell r="BC16">
            <v>0</v>
          </cell>
          <cell r="BD16">
            <v>6</v>
          </cell>
          <cell r="BE16">
            <v>2</v>
          </cell>
          <cell r="BF16">
            <v>3</v>
          </cell>
          <cell r="BG16">
            <v>0</v>
          </cell>
          <cell r="BH16">
            <v>0</v>
          </cell>
          <cell r="BI16">
            <v>1</v>
          </cell>
        </row>
        <row r="17">
          <cell r="C17" t="str">
            <v>Nguyễn Minh Trang</v>
          </cell>
          <cell r="D17">
            <v>1015</v>
          </cell>
          <cell r="I17">
            <v>1</v>
          </cell>
          <cell r="N17">
            <v>1</v>
          </cell>
          <cell r="P17">
            <v>1</v>
          </cell>
          <cell r="U17">
            <v>1</v>
          </cell>
          <cell r="V17">
            <v>1</v>
          </cell>
          <cell r="Z17">
            <v>1</v>
          </cell>
          <cell r="AB17">
            <v>1</v>
          </cell>
          <cell r="AD17">
            <v>1</v>
          </cell>
          <cell r="AI17">
            <v>1</v>
          </cell>
          <cell r="AJ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U17">
            <v>1</v>
          </cell>
          <cell r="AW17">
            <v>1</v>
          </cell>
          <cell r="AY17">
            <v>1</v>
          </cell>
          <cell r="BC17">
            <v>1</v>
          </cell>
          <cell r="BD17">
            <v>6</v>
          </cell>
          <cell r="BE17">
            <v>3</v>
          </cell>
          <cell r="BF17">
            <v>3</v>
          </cell>
          <cell r="BG17">
            <v>0</v>
          </cell>
          <cell r="BH17">
            <v>0</v>
          </cell>
          <cell r="BI17">
            <v>3</v>
          </cell>
        </row>
        <row r="18">
          <cell r="C18" t="str">
            <v>Lê Thị Tú Anh</v>
          </cell>
          <cell r="D18">
            <v>1017</v>
          </cell>
          <cell r="E18" t="str">
            <v>Phó Trưởng bộ môn</v>
          </cell>
          <cell r="W18">
            <v>1</v>
          </cell>
          <cell r="AB18">
            <v>1</v>
          </cell>
          <cell r="AC18">
            <v>1</v>
          </cell>
          <cell r="AG18">
            <v>1</v>
          </cell>
          <cell r="AI18">
            <v>1</v>
          </cell>
          <cell r="AK18">
            <v>1</v>
          </cell>
          <cell r="AP18">
            <v>1</v>
          </cell>
          <cell r="AQ18">
            <v>1</v>
          </cell>
          <cell r="AU18">
            <v>1</v>
          </cell>
          <cell r="AW18">
            <v>1</v>
          </cell>
          <cell r="AY18">
            <v>1</v>
          </cell>
          <cell r="BC18">
            <v>0</v>
          </cell>
          <cell r="BD18">
            <v>4</v>
          </cell>
          <cell r="BE18">
            <v>2</v>
          </cell>
          <cell r="BF18">
            <v>3</v>
          </cell>
          <cell r="BG18">
            <v>0</v>
          </cell>
          <cell r="BH18">
            <v>0</v>
          </cell>
          <cell r="BI18">
            <v>2</v>
          </cell>
        </row>
        <row r="19">
          <cell r="C19" t="str">
            <v>Ngô Thế Sơn</v>
          </cell>
          <cell r="D19">
            <v>1021</v>
          </cell>
          <cell r="AP19">
            <v>1</v>
          </cell>
          <cell r="AW19">
            <v>1</v>
          </cell>
          <cell r="AY19">
            <v>1</v>
          </cell>
          <cell r="BC19">
            <v>0</v>
          </cell>
          <cell r="BD19">
            <v>2</v>
          </cell>
          <cell r="BE19">
            <v>0</v>
          </cell>
          <cell r="BF19">
            <v>1</v>
          </cell>
          <cell r="BG19">
            <v>0</v>
          </cell>
          <cell r="BH19">
            <v>0</v>
          </cell>
          <cell r="BI19">
            <v>0</v>
          </cell>
        </row>
        <row r="20">
          <cell r="C20" t="str">
            <v>Phạm Vũ Luận</v>
          </cell>
          <cell r="D20">
            <v>1010</v>
          </cell>
          <cell r="G20">
            <v>1</v>
          </cell>
          <cell r="I20">
            <v>1</v>
          </cell>
          <cell r="N20">
            <v>1</v>
          </cell>
          <cell r="P20">
            <v>1</v>
          </cell>
          <cell r="U20">
            <v>1</v>
          </cell>
          <cell r="W20">
            <v>1</v>
          </cell>
          <cell r="AB20">
            <v>1</v>
          </cell>
          <cell r="AD20">
            <v>1</v>
          </cell>
          <cell r="AI20">
            <v>1</v>
          </cell>
          <cell r="AK20">
            <v>1</v>
          </cell>
          <cell r="AP20">
            <v>1</v>
          </cell>
          <cell r="AW20">
            <v>1</v>
          </cell>
          <cell r="AY20">
            <v>1</v>
          </cell>
          <cell r="BC20">
            <v>0</v>
          </cell>
          <cell r="BD20">
            <v>6</v>
          </cell>
          <cell r="BE20">
            <v>0</v>
          </cell>
          <cell r="BF20">
            <v>5</v>
          </cell>
          <cell r="BG20">
            <v>0</v>
          </cell>
          <cell r="BH20">
            <v>0</v>
          </cell>
          <cell r="BI20">
            <v>0</v>
          </cell>
        </row>
        <row r="21">
          <cell r="C21" t="str">
            <v>Dương Thị Thúy Nương</v>
          </cell>
          <cell r="D21">
            <v>1011</v>
          </cell>
          <cell r="G21">
            <v>1</v>
          </cell>
          <cell r="I21">
            <v>1</v>
          </cell>
          <cell r="N21">
            <v>1</v>
          </cell>
          <cell r="P21">
            <v>1</v>
          </cell>
          <cell r="U21">
            <v>1</v>
          </cell>
          <cell r="V21">
            <v>1</v>
          </cell>
          <cell r="Z21">
            <v>1</v>
          </cell>
          <cell r="AB21">
            <v>1</v>
          </cell>
          <cell r="AC21">
            <v>1</v>
          </cell>
          <cell r="AG21">
            <v>1</v>
          </cell>
          <cell r="AI21">
            <v>1</v>
          </cell>
          <cell r="AK21">
            <v>1</v>
          </cell>
          <cell r="AP21">
            <v>1</v>
          </cell>
          <cell r="AW21">
            <v>1</v>
          </cell>
          <cell r="AY21">
            <v>1</v>
          </cell>
          <cell r="BC21">
            <v>0</v>
          </cell>
          <cell r="BD21">
            <v>6</v>
          </cell>
          <cell r="BE21">
            <v>2</v>
          </cell>
          <cell r="BF21">
            <v>3</v>
          </cell>
          <cell r="BG21">
            <v>0</v>
          </cell>
          <cell r="BH21">
            <v>0</v>
          </cell>
          <cell r="BI21">
            <v>2</v>
          </cell>
        </row>
        <row r="22">
          <cell r="C22" t="str">
            <v>Nguyễn Thanh Hải</v>
          </cell>
          <cell r="D22">
            <v>1016</v>
          </cell>
          <cell r="J22">
            <v>1</v>
          </cell>
          <cell r="Q22">
            <v>1</v>
          </cell>
          <cell r="AD22">
            <v>1</v>
          </cell>
          <cell r="AI22">
            <v>1</v>
          </cell>
          <cell r="AK22">
            <v>1</v>
          </cell>
          <cell r="AP22">
            <v>1</v>
          </cell>
          <cell r="AW22">
            <v>1</v>
          </cell>
          <cell r="AY22">
            <v>1</v>
          </cell>
          <cell r="BC22">
            <v>0</v>
          </cell>
          <cell r="BD22">
            <v>3</v>
          </cell>
          <cell r="BE22">
            <v>0</v>
          </cell>
          <cell r="BF22">
            <v>3</v>
          </cell>
          <cell r="BG22">
            <v>1</v>
          </cell>
          <cell r="BH22">
            <v>0</v>
          </cell>
          <cell r="BI22">
            <v>0</v>
          </cell>
        </row>
        <row r="23">
          <cell r="C23" t="str">
            <v>Nguyễn Thị Thu Hà</v>
          </cell>
          <cell r="D23">
            <v>1018</v>
          </cell>
          <cell r="G23">
            <v>1</v>
          </cell>
          <cell r="H23">
            <v>1</v>
          </cell>
          <cell r="L23">
            <v>1</v>
          </cell>
          <cell r="N23">
            <v>1</v>
          </cell>
          <cell r="O23">
            <v>1</v>
          </cell>
          <cell r="S23">
            <v>1</v>
          </cell>
          <cell r="U23">
            <v>1</v>
          </cell>
          <cell r="V23">
            <v>1</v>
          </cell>
          <cell r="Z23">
            <v>1</v>
          </cell>
          <cell r="AB23">
            <v>1</v>
          </cell>
          <cell r="AC23">
            <v>1</v>
          </cell>
          <cell r="AG23">
            <v>1</v>
          </cell>
          <cell r="AI23">
            <v>1</v>
          </cell>
          <cell r="AJ23">
            <v>1</v>
          </cell>
          <cell r="AN23">
            <v>1</v>
          </cell>
          <cell r="AP23">
            <v>1</v>
          </cell>
          <cell r="AV23">
            <v>1</v>
          </cell>
          <cell r="AW23">
            <v>1</v>
          </cell>
          <cell r="AX23">
            <v>1</v>
          </cell>
          <cell r="BB23">
            <v>1</v>
          </cell>
          <cell r="BC23">
            <v>1</v>
          </cell>
          <cell r="BD23">
            <v>6</v>
          </cell>
          <cell r="BE23">
            <v>5</v>
          </cell>
          <cell r="BF23">
            <v>0</v>
          </cell>
          <cell r="BG23">
            <v>0</v>
          </cell>
          <cell r="BH23">
            <v>0</v>
          </cell>
          <cell r="BI23">
            <v>5</v>
          </cell>
        </row>
        <row r="24">
          <cell r="C24" t="str">
            <v>Nguyễn Thị Bích Loan</v>
          </cell>
          <cell r="D24">
            <v>1003</v>
          </cell>
          <cell r="F24">
            <v>1</v>
          </cell>
          <cell r="G24">
            <v>1</v>
          </cell>
          <cell r="H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N24">
            <v>1</v>
          </cell>
          <cell r="AO24">
            <v>1</v>
          </cell>
          <cell r="AP24">
            <v>1</v>
          </cell>
          <cell r="AQ24">
            <v>1</v>
          </cell>
          <cell r="AU24">
            <v>1</v>
          </cell>
          <cell r="AW24">
            <v>1</v>
          </cell>
          <cell r="AY24">
            <v>1</v>
          </cell>
          <cell r="BC24">
            <v>5</v>
          </cell>
          <cell r="BD24">
            <v>6</v>
          </cell>
          <cell r="BE24">
            <v>5</v>
          </cell>
          <cell r="BF24">
            <v>1</v>
          </cell>
          <cell r="BG24">
            <v>0</v>
          </cell>
          <cell r="BH24">
            <v>0</v>
          </cell>
          <cell r="BI24">
            <v>5</v>
          </cell>
        </row>
        <row r="25">
          <cell r="C25" t="str">
            <v>Mai Thị Lan Hương</v>
          </cell>
          <cell r="D25">
            <v>1022</v>
          </cell>
          <cell r="G25">
            <v>1</v>
          </cell>
          <cell r="I25">
            <v>1</v>
          </cell>
          <cell r="N25">
            <v>1</v>
          </cell>
          <cell r="P25">
            <v>1</v>
          </cell>
          <cell r="X25">
            <v>1</v>
          </cell>
          <cell r="AB25">
            <v>1</v>
          </cell>
          <cell r="AC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N25">
            <v>1</v>
          </cell>
          <cell r="AP25">
            <v>1</v>
          </cell>
          <cell r="AQ25">
            <v>1</v>
          </cell>
          <cell r="AW25">
            <v>1</v>
          </cell>
          <cell r="AY25">
            <v>1</v>
          </cell>
          <cell r="BC25">
            <v>1</v>
          </cell>
          <cell r="BD25">
            <v>5</v>
          </cell>
          <cell r="BE25">
            <v>3</v>
          </cell>
          <cell r="BF25">
            <v>2</v>
          </cell>
          <cell r="BG25">
            <v>1</v>
          </cell>
          <cell r="BH25">
            <v>0</v>
          </cell>
          <cell r="BI25">
            <v>2</v>
          </cell>
        </row>
        <row r="26">
          <cell r="C26" t="str">
            <v>Hoàng Cao Cường</v>
          </cell>
          <cell r="D26">
            <v>1025</v>
          </cell>
          <cell r="E26" t="str">
            <v>Trưởng bộ môn</v>
          </cell>
          <cell r="G26">
            <v>1</v>
          </cell>
          <cell r="I26">
            <v>1</v>
          </cell>
          <cell r="N26">
            <v>1</v>
          </cell>
          <cell r="O26">
            <v>1</v>
          </cell>
          <cell r="S26">
            <v>1</v>
          </cell>
          <cell r="U26">
            <v>1</v>
          </cell>
          <cell r="V26">
            <v>1</v>
          </cell>
          <cell r="AB26">
            <v>1</v>
          </cell>
          <cell r="AD26">
            <v>1</v>
          </cell>
          <cell r="AI26">
            <v>1</v>
          </cell>
          <cell r="AK26">
            <v>1</v>
          </cell>
          <cell r="AP26">
            <v>1</v>
          </cell>
          <cell r="AV26">
            <v>1</v>
          </cell>
          <cell r="AW26">
            <v>1</v>
          </cell>
          <cell r="AY26">
            <v>1</v>
          </cell>
          <cell r="BB26">
            <v>1</v>
          </cell>
          <cell r="BC26">
            <v>1</v>
          </cell>
          <cell r="BD26">
            <v>6</v>
          </cell>
          <cell r="BE26">
            <v>2</v>
          </cell>
          <cell r="BF26">
            <v>3</v>
          </cell>
          <cell r="BG26">
            <v>0</v>
          </cell>
          <cell r="BH26">
            <v>0</v>
          </cell>
          <cell r="BI26">
            <v>2</v>
          </cell>
        </row>
        <row r="27">
          <cell r="C27" t="str">
            <v>Vũ Tuấn Dương</v>
          </cell>
          <cell r="D27">
            <v>1043</v>
          </cell>
          <cell r="E27" t="str">
            <v>Phó Trưởng bộ môn</v>
          </cell>
          <cell r="AB27">
            <v>1</v>
          </cell>
          <cell r="AC27">
            <v>1</v>
          </cell>
          <cell r="AG27">
            <v>1</v>
          </cell>
          <cell r="AI27">
            <v>1</v>
          </cell>
          <cell r="AJ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U27">
            <v>1</v>
          </cell>
          <cell r="AW27">
            <v>1</v>
          </cell>
          <cell r="AX27">
            <v>1</v>
          </cell>
          <cell r="BB27">
            <v>1</v>
          </cell>
          <cell r="BC27">
            <v>1</v>
          </cell>
          <cell r="BD27">
            <v>4</v>
          </cell>
          <cell r="BE27">
            <v>4</v>
          </cell>
          <cell r="BF27">
            <v>0</v>
          </cell>
          <cell r="BG27">
            <v>0</v>
          </cell>
          <cell r="BH27">
            <v>0</v>
          </cell>
          <cell r="BI27">
            <v>4</v>
          </cell>
        </row>
        <row r="28">
          <cell r="C28" t="str">
            <v>Đào Thị Phương Mai</v>
          </cell>
          <cell r="D28">
            <v>1028</v>
          </cell>
          <cell r="F28">
            <v>1</v>
          </cell>
          <cell r="G28">
            <v>1</v>
          </cell>
          <cell r="H28">
            <v>1</v>
          </cell>
          <cell r="L28">
            <v>1</v>
          </cell>
          <cell r="N28">
            <v>1</v>
          </cell>
          <cell r="O28">
            <v>1</v>
          </cell>
          <cell r="S28">
            <v>1</v>
          </cell>
          <cell r="U28">
            <v>1</v>
          </cell>
          <cell r="V28">
            <v>1</v>
          </cell>
          <cell r="Z28">
            <v>1</v>
          </cell>
          <cell r="AB28">
            <v>1</v>
          </cell>
          <cell r="AD28">
            <v>1</v>
          </cell>
          <cell r="AI28">
            <v>1</v>
          </cell>
          <cell r="AK28">
            <v>1</v>
          </cell>
          <cell r="BA28">
            <v>1</v>
          </cell>
          <cell r="BC28">
            <v>0</v>
          </cell>
          <cell r="BD28">
            <v>4</v>
          </cell>
          <cell r="BE28">
            <v>2</v>
          </cell>
          <cell r="BF28">
            <v>2</v>
          </cell>
          <cell r="BG28">
            <v>0</v>
          </cell>
          <cell r="BH28">
            <v>1</v>
          </cell>
          <cell r="BI28">
            <v>2</v>
          </cell>
        </row>
        <row r="29">
          <cell r="C29" t="str">
            <v>Nguyễn Khắc Nghĩa</v>
          </cell>
          <cell r="D29">
            <v>1024</v>
          </cell>
          <cell r="G29">
            <v>1</v>
          </cell>
          <cell r="I29">
            <v>1</v>
          </cell>
          <cell r="N29">
            <v>1</v>
          </cell>
          <cell r="P29">
            <v>1</v>
          </cell>
          <cell r="U29">
            <v>1</v>
          </cell>
          <cell r="W29">
            <v>1</v>
          </cell>
          <cell r="AB29">
            <v>1</v>
          </cell>
          <cell r="AC29">
            <v>1</v>
          </cell>
          <cell r="AG29">
            <v>1</v>
          </cell>
          <cell r="AI29">
            <v>1</v>
          </cell>
          <cell r="AJ29">
            <v>1</v>
          </cell>
          <cell r="AN29">
            <v>1</v>
          </cell>
          <cell r="AO29">
            <v>1</v>
          </cell>
          <cell r="AP29">
            <v>1</v>
          </cell>
          <cell r="AQ29">
            <v>1</v>
          </cell>
          <cell r="AU29">
            <v>1</v>
          </cell>
          <cell r="AW29">
            <v>1</v>
          </cell>
          <cell r="AX29">
            <v>1</v>
          </cell>
          <cell r="BB29">
            <v>1</v>
          </cell>
          <cell r="BC29">
            <v>1</v>
          </cell>
          <cell r="BD29">
            <v>6</v>
          </cell>
          <cell r="BE29">
            <v>4</v>
          </cell>
          <cell r="BF29">
            <v>2</v>
          </cell>
          <cell r="BG29">
            <v>0</v>
          </cell>
          <cell r="BH29">
            <v>0</v>
          </cell>
          <cell r="BI29">
            <v>4</v>
          </cell>
        </row>
        <row r="30">
          <cell r="C30" t="str">
            <v>Vũ Quỳnh Anh</v>
          </cell>
          <cell r="D30">
            <v>1032</v>
          </cell>
          <cell r="AI30">
            <v>1</v>
          </cell>
          <cell r="AK30">
            <v>1</v>
          </cell>
          <cell r="AP30">
            <v>1</v>
          </cell>
          <cell r="AW30">
            <v>1</v>
          </cell>
          <cell r="AY30">
            <v>1</v>
          </cell>
          <cell r="BC30">
            <v>0</v>
          </cell>
          <cell r="BD30">
            <v>3</v>
          </cell>
          <cell r="BE30">
            <v>0</v>
          </cell>
          <cell r="BF30">
            <v>2</v>
          </cell>
          <cell r="BG30">
            <v>0</v>
          </cell>
          <cell r="BH30">
            <v>0</v>
          </cell>
          <cell r="BI30">
            <v>0</v>
          </cell>
        </row>
        <row r="31">
          <cell r="C31" t="str">
            <v>Trịnh Thị Nhuần</v>
          </cell>
          <cell r="D31">
            <v>1030</v>
          </cell>
          <cell r="G31">
            <v>1</v>
          </cell>
          <cell r="I31">
            <v>1</v>
          </cell>
          <cell r="N31">
            <v>1</v>
          </cell>
          <cell r="O31">
            <v>1</v>
          </cell>
          <cell r="S31">
            <v>1</v>
          </cell>
          <cell r="U31">
            <v>1</v>
          </cell>
          <cell r="V31">
            <v>1</v>
          </cell>
          <cell r="Z31">
            <v>1</v>
          </cell>
          <cell r="AB31">
            <v>1</v>
          </cell>
          <cell r="AC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N31">
            <v>1</v>
          </cell>
          <cell r="AP31">
            <v>1</v>
          </cell>
          <cell r="AQ31">
            <v>1</v>
          </cell>
          <cell r="AU31">
            <v>1</v>
          </cell>
          <cell r="AW31">
            <v>1</v>
          </cell>
          <cell r="AY31">
            <v>1</v>
          </cell>
          <cell r="BC31">
            <v>1</v>
          </cell>
          <cell r="BD31">
            <v>6</v>
          </cell>
          <cell r="BE31">
            <v>5</v>
          </cell>
          <cell r="BF31">
            <v>1</v>
          </cell>
          <cell r="BG31">
            <v>0</v>
          </cell>
          <cell r="BH31">
            <v>0</v>
          </cell>
          <cell r="BI31">
            <v>5</v>
          </cell>
        </row>
        <row r="32">
          <cell r="C32" t="str">
            <v>Nguyễn Thị Phương Loan</v>
          </cell>
          <cell r="D32">
            <v>1019</v>
          </cell>
          <cell r="AB32">
            <v>1</v>
          </cell>
          <cell r="AD32">
            <v>1</v>
          </cell>
          <cell r="AI32">
            <v>1</v>
          </cell>
          <cell r="AJ32">
            <v>1</v>
          </cell>
          <cell r="AN32">
            <v>1</v>
          </cell>
          <cell r="AP32">
            <v>1</v>
          </cell>
          <cell r="AQ32">
            <v>1</v>
          </cell>
          <cell r="AU32">
            <v>1</v>
          </cell>
          <cell r="AV32">
            <v>1</v>
          </cell>
          <cell r="AW32">
            <v>1</v>
          </cell>
          <cell r="AY32">
            <v>1</v>
          </cell>
          <cell r="BB32">
            <v>1</v>
          </cell>
          <cell r="BC32">
            <v>1</v>
          </cell>
          <cell r="BD32">
            <v>4</v>
          </cell>
          <cell r="BE32">
            <v>2</v>
          </cell>
          <cell r="BF32">
            <v>2</v>
          </cell>
          <cell r="BG32">
            <v>0</v>
          </cell>
          <cell r="BH32">
            <v>0</v>
          </cell>
          <cell r="BI32">
            <v>3</v>
          </cell>
        </row>
        <row r="33">
          <cell r="C33" t="str">
            <v>Nguyễn Thu Hà</v>
          </cell>
          <cell r="D33">
            <v>1020</v>
          </cell>
          <cell r="AI33">
            <v>1</v>
          </cell>
          <cell r="AK33">
            <v>1</v>
          </cell>
          <cell r="AP33">
            <v>1</v>
          </cell>
          <cell r="AW33">
            <v>1</v>
          </cell>
          <cell r="AY33">
            <v>1</v>
          </cell>
          <cell r="BC33">
            <v>0</v>
          </cell>
          <cell r="BD33">
            <v>3</v>
          </cell>
          <cell r="BE33">
            <v>0</v>
          </cell>
          <cell r="BF33">
            <v>2</v>
          </cell>
          <cell r="BG33">
            <v>0</v>
          </cell>
          <cell r="BH33">
            <v>0</v>
          </cell>
          <cell r="BI33">
            <v>0</v>
          </cell>
        </row>
        <row r="34">
          <cell r="C34" t="str">
            <v>Vũ Thị Như Quỳnh</v>
          </cell>
          <cell r="D34">
            <v>1023</v>
          </cell>
          <cell r="E34" t="str">
            <v>Trưởng bộ môn, 
PBTCB</v>
          </cell>
          <cell r="G34">
            <v>1</v>
          </cell>
          <cell r="H34">
            <v>1</v>
          </cell>
          <cell r="L34">
            <v>1</v>
          </cell>
          <cell r="N34">
            <v>1</v>
          </cell>
          <cell r="O34">
            <v>1</v>
          </cell>
          <cell r="S34">
            <v>1</v>
          </cell>
          <cell r="U34">
            <v>1</v>
          </cell>
          <cell r="V34">
            <v>1</v>
          </cell>
          <cell r="Z34">
            <v>1</v>
          </cell>
          <cell r="AB34">
            <v>1</v>
          </cell>
          <cell r="AC34">
            <v>1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U34">
            <v>1</v>
          </cell>
          <cell r="AV34">
            <v>1</v>
          </cell>
          <cell r="AW34">
            <v>1</v>
          </cell>
          <cell r="AY34">
            <v>1</v>
          </cell>
          <cell r="BB34">
            <v>1</v>
          </cell>
          <cell r="BC34">
            <v>3</v>
          </cell>
          <cell r="BD34">
            <v>6</v>
          </cell>
          <cell r="BE34">
            <v>5</v>
          </cell>
          <cell r="BF34">
            <v>1</v>
          </cell>
          <cell r="BG34">
            <v>0</v>
          </cell>
          <cell r="BH34">
            <v>0</v>
          </cell>
          <cell r="BI34">
            <v>6</v>
          </cell>
        </row>
        <row r="35">
          <cell r="C35" t="str">
            <v>Nguyễn Ngọc Dương</v>
          </cell>
          <cell r="D35">
            <v>1029</v>
          </cell>
          <cell r="E35" t="str">
            <v>Phó Trưởng bộ môn</v>
          </cell>
          <cell r="G35">
            <v>1</v>
          </cell>
          <cell r="I35">
            <v>1</v>
          </cell>
          <cell r="N35">
            <v>1</v>
          </cell>
          <cell r="P35">
            <v>1</v>
          </cell>
          <cell r="U35">
            <v>1</v>
          </cell>
          <cell r="W35">
            <v>1</v>
          </cell>
          <cell r="AE35">
            <v>1</v>
          </cell>
          <cell r="AI35">
            <v>1</v>
          </cell>
          <cell r="AJ35">
            <v>1</v>
          </cell>
          <cell r="AN35">
            <v>1</v>
          </cell>
          <cell r="AP35">
            <v>1</v>
          </cell>
          <cell r="AQ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BB35">
            <v>1</v>
          </cell>
          <cell r="BC35">
            <v>1</v>
          </cell>
          <cell r="BD35">
            <v>5</v>
          </cell>
          <cell r="BE35">
            <v>3</v>
          </cell>
          <cell r="BF35">
            <v>2</v>
          </cell>
          <cell r="BG35">
            <v>1</v>
          </cell>
          <cell r="BH35">
            <v>0</v>
          </cell>
          <cell r="BI35">
            <v>3</v>
          </cell>
        </row>
        <row r="36">
          <cell r="C36" t="str">
            <v>Nguyễn Thị Thanh Tâm</v>
          </cell>
          <cell r="D36">
            <v>1026</v>
          </cell>
          <cell r="G36">
            <v>1</v>
          </cell>
          <cell r="H36">
            <v>1</v>
          </cell>
          <cell r="L36">
            <v>1</v>
          </cell>
          <cell r="N36">
            <v>1</v>
          </cell>
          <cell r="O36">
            <v>1</v>
          </cell>
          <cell r="S36">
            <v>1</v>
          </cell>
          <cell r="U36">
            <v>1</v>
          </cell>
          <cell r="V36">
            <v>1</v>
          </cell>
          <cell r="Z36">
            <v>1</v>
          </cell>
          <cell r="AB36">
            <v>1</v>
          </cell>
          <cell r="AC36">
            <v>1</v>
          </cell>
          <cell r="AG36">
            <v>1</v>
          </cell>
          <cell r="AI36">
            <v>1</v>
          </cell>
          <cell r="AJ36">
            <v>1</v>
          </cell>
          <cell r="AN36">
            <v>1</v>
          </cell>
          <cell r="AP36">
            <v>1</v>
          </cell>
          <cell r="AQ36">
            <v>1</v>
          </cell>
          <cell r="AU36">
            <v>1</v>
          </cell>
          <cell r="AW36">
            <v>1</v>
          </cell>
          <cell r="AY36">
            <v>1</v>
          </cell>
          <cell r="BC36">
            <v>0</v>
          </cell>
          <cell r="BD36">
            <v>6</v>
          </cell>
          <cell r="BE36">
            <v>5</v>
          </cell>
          <cell r="BF36">
            <v>1</v>
          </cell>
          <cell r="BG36">
            <v>0</v>
          </cell>
          <cell r="BH36">
            <v>0</v>
          </cell>
          <cell r="BI36">
            <v>5</v>
          </cell>
        </row>
        <row r="37">
          <cell r="C37" t="str">
            <v>Nguyễn Ngọc Hưng</v>
          </cell>
          <cell r="D37">
            <v>1027</v>
          </cell>
          <cell r="G37">
            <v>1</v>
          </cell>
          <cell r="I37">
            <v>1</v>
          </cell>
          <cell r="Q37">
            <v>1</v>
          </cell>
          <cell r="U37">
            <v>1</v>
          </cell>
          <cell r="W37">
            <v>1</v>
          </cell>
          <cell r="AB37">
            <v>1</v>
          </cell>
          <cell r="AD37">
            <v>1</v>
          </cell>
          <cell r="AI37">
            <v>1</v>
          </cell>
          <cell r="AK37">
            <v>1</v>
          </cell>
          <cell r="AW37">
            <v>1</v>
          </cell>
          <cell r="AY37">
            <v>1</v>
          </cell>
          <cell r="BC37">
            <v>0</v>
          </cell>
          <cell r="BD37">
            <v>4</v>
          </cell>
          <cell r="BE37">
            <v>0</v>
          </cell>
          <cell r="BF37">
            <v>4</v>
          </cell>
          <cell r="BG37">
            <v>1</v>
          </cell>
          <cell r="BH37">
            <v>0</v>
          </cell>
          <cell r="BI37">
            <v>0</v>
          </cell>
        </row>
        <row r="38">
          <cell r="C38" t="str">
            <v>Trần Thị Trà My</v>
          </cell>
          <cell r="D38">
            <v>1031</v>
          </cell>
          <cell r="I38">
            <v>1</v>
          </cell>
          <cell r="N38">
            <v>1</v>
          </cell>
          <cell r="P38">
            <v>1</v>
          </cell>
          <cell r="U38">
            <v>1</v>
          </cell>
          <cell r="V38">
            <v>1</v>
          </cell>
          <cell r="Z38">
            <v>1</v>
          </cell>
          <cell r="AB38">
            <v>1</v>
          </cell>
          <cell r="AC38">
            <v>1</v>
          </cell>
          <cell r="AG38">
            <v>1</v>
          </cell>
          <cell r="AI38">
            <v>1</v>
          </cell>
          <cell r="AK38">
            <v>1</v>
          </cell>
          <cell r="AP38">
            <v>1</v>
          </cell>
          <cell r="AQ38">
            <v>1</v>
          </cell>
          <cell r="AU38">
            <v>1</v>
          </cell>
          <cell r="AW38">
            <v>1</v>
          </cell>
          <cell r="AY38">
            <v>1</v>
          </cell>
          <cell r="BC38">
            <v>0</v>
          </cell>
          <cell r="BD38">
            <v>6</v>
          </cell>
          <cell r="BE38">
            <v>3</v>
          </cell>
          <cell r="BF38">
            <v>3</v>
          </cell>
          <cell r="BG38">
            <v>0</v>
          </cell>
          <cell r="BH38">
            <v>0</v>
          </cell>
          <cell r="BI38">
            <v>3</v>
          </cell>
        </row>
        <row r="39">
          <cell r="C39" t="str">
            <v>Chu Đức Trí</v>
          </cell>
          <cell r="D39">
            <v>1033</v>
          </cell>
          <cell r="AI39">
            <v>1</v>
          </cell>
          <cell r="AK39">
            <v>1</v>
          </cell>
          <cell r="AP39">
            <v>1</v>
          </cell>
          <cell r="AW39">
            <v>1</v>
          </cell>
          <cell r="AY39">
            <v>1</v>
          </cell>
          <cell r="BC39">
            <v>0</v>
          </cell>
          <cell r="BD39">
            <v>3</v>
          </cell>
          <cell r="BE39">
            <v>0</v>
          </cell>
          <cell r="BF39">
            <v>2</v>
          </cell>
          <cell r="BG39">
            <v>0</v>
          </cell>
          <cell r="BH39">
            <v>0</v>
          </cell>
          <cell r="BI39">
            <v>0</v>
          </cell>
        </row>
        <row r="40">
          <cell r="C40" t="str">
            <v>Nguyễn Ngọc Anh</v>
          </cell>
          <cell r="D40">
            <v>1751</v>
          </cell>
          <cell r="AI40">
            <v>1</v>
          </cell>
          <cell r="AK40">
            <v>1</v>
          </cell>
          <cell r="AW40">
            <v>1</v>
          </cell>
          <cell r="AY40">
            <v>1</v>
          </cell>
          <cell r="BC40">
            <v>0</v>
          </cell>
          <cell r="BD40">
            <v>2</v>
          </cell>
          <cell r="BE40">
            <v>0</v>
          </cell>
          <cell r="BF40">
            <v>2</v>
          </cell>
          <cell r="BG40">
            <v>0</v>
          </cell>
          <cell r="BH40">
            <v>0</v>
          </cell>
          <cell r="BI40">
            <v>0</v>
          </cell>
        </row>
        <row r="41">
          <cell r="C41" t="str">
            <v xml:space="preserve">Nguyễn Thị Hương Giang </v>
          </cell>
          <cell r="D41">
            <v>1034</v>
          </cell>
          <cell r="AI41">
            <v>1</v>
          </cell>
          <cell r="AK41">
            <v>1</v>
          </cell>
          <cell r="AP41">
            <v>1</v>
          </cell>
          <cell r="AW41">
            <v>1</v>
          </cell>
          <cell r="AY41">
            <v>1</v>
          </cell>
          <cell r="BC41">
            <v>0</v>
          </cell>
          <cell r="BD41">
            <v>3</v>
          </cell>
          <cell r="BE41">
            <v>0</v>
          </cell>
          <cell r="BF41">
            <v>2</v>
          </cell>
          <cell r="BG41">
            <v>0</v>
          </cell>
          <cell r="BH41">
            <v>0</v>
          </cell>
          <cell r="BI41">
            <v>0</v>
          </cell>
        </row>
        <row r="42">
          <cell r="C42" t="str">
            <v>Lê Thảo Quỳnh</v>
          </cell>
          <cell r="D42">
            <v>1759</v>
          </cell>
          <cell r="AW42">
            <v>1</v>
          </cell>
          <cell r="AY42">
            <v>1</v>
          </cell>
          <cell r="BC42">
            <v>0</v>
          </cell>
          <cell r="BD42">
            <v>1</v>
          </cell>
          <cell r="BE42">
            <v>0</v>
          </cell>
          <cell r="BF42">
            <v>1</v>
          </cell>
          <cell r="BG42">
            <v>0</v>
          </cell>
          <cell r="BH42">
            <v>0</v>
          </cell>
          <cell r="BI42">
            <v>0</v>
          </cell>
        </row>
        <row r="43">
          <cell r="C43" t="str">
            <v>Nguyễn Thị Mỹ Nguyệt</v>
          </cell>
          <cell r="D43">
            <v>1035</v>
          </cell>
          <cell r="E43" t="str">
            <v>Phó Viện Trưởng, CUV</v>
          </cell>
          <cell r="G43">
            <v>1</v>
          </cell>
          <cell r="H43">
            <v>1</v>
          </cell>
          <cell r="L43">
            <v>1</v>
          </cell>
          <cell r="N43">
            <v>1</v>
          </cell>
          <cell r="O43">
            <v>1</v>
          </cell>
          <cell r="S43">
            <v>1</v>
          </cell>
          <cell r="U43">
            <v>1</v>
          </cell>
          <cell r="V43">
            <v>1</v>
          </cell>
          <cell r="Z43">
            <v>1</v>
          </cell>
          <cell r="AB43">
            <v>1</v>
          </cell>
          <cell r="AC43">
            <v>1</v>
          </cell>
          <cell r="AG43">
            <v>1</v>
          </cell>
          <cell r="AI43">
            <v>1</v>
          </cell>
          <cell r="AJ43">
            <v>1</v>
          </cell>
          <cell r="AN43">
            <v>1</v>
          </cell>
          <cell r="AP43">
            <v>1</v>
          </cell>
          <cell r="AQ43">
            <v>1</v>
          </cell>
          <cell r="AU43">
            <v>1</v>
          </cell>
          <cell r="AV43">
            <v>1</v>
          </cell>
          <cell r="AW43">
            <v>1</v>
          </cell>
          <cell r="AY43">
            <v>1</v>
          </cell>
          <cell r="BB43">
            <v>1</v>
          </cell>
          <cell r="BC43">
            <v>1</v>
          </cell>
          <cell r="BD43">
            <v>6</v>
          </cell>
          <cell r="BE43">
            <v>5</v>
          </cell>
          <cell r="BF43">
            <v>1</v>
          </cell>
          <cell r="BG43">
            <v>0</v>
          </cell>
          <cell r="BH43">
            <v>0</v>
          </cell>
          <cell r="BI43">
            <v>6</v>
          </cell>
        </row>
        <row r="44">
          <cell r="C44" t="str">
            <v>Nguyễn Thị Uyên</v>
          </cell>
          <cell r="D44">
            <v>1036</v>
          </cell>
          <cell r="E44" t="str">
            <v>Trưởng bộ môn</v>
          </cell>
          <cell r="G44">
            <v>1</v>
          </cell>
          <cell r="I44">
            <v>1</v>
          </cell>
          <cell r="N44">
            <v>1</v>
          </cell>
          <cell r="O44">
            <v>1</v>
          </cell>
          <cell r="S44">
            <v>1</v>
          </cell>
          <cell r="U44">
            <v>1</v>
          </cell>
          <cell r="V44">
            <v>1</v>
          </cell>
          <cell r="Z44">
            <v>1</v>
          </cell>
          <cell r="AB44">
            <v>1</v>
          </cell>
          <cell r="AC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N44">
            <v>1</v>
          </cell>
          <cell r="AP44">
            <v>1</v>
          </cell>
          <cell r="AQ44">
            <v>1</v>
          </cell>
          <cell r="AU44">
            <v>1</v>
          </cell>
          <cell r="AV44">
            <v>1</v>
          </cell>
          <cell r="AW44">
            <v>1</v>
          </cell>
          <cell r="AY44">
            <v>1</v>
          </cell>
          <cell r="BB44">
            <v>1</v>
          </cell>
          <cell r="BC44">
            <v>2</v>
          </cell>
          <cell r="BD44">
            <v>6</v>
          </cell>
          <cell r="BE44">
            <v>5</v>
          </cell>
          <cell r="BF44">
            <v>1</v>
          </cell>
          <cell r="BG44">
            <v>0</v>
          </cell>
          <cell r="BH44">
            <v>0</v>
          </cell>
          <cell r="BI44">
            <v>6</v>
          </cell>
        </row>
        <row r="45">
          <cell r="C45" t="str">
            <v>Lưu Thị Thùy Dương</v>
          </cell>
          <cell r="D45">
            <v>1037</v>
          </cell>
          <cell r="E45" t="str">
            <v>Phó Trưởng bộ môn</v>
          </cell>
          <cell r="G45">
            <v>1</v>
          </cell>
          <cell r="I45">
            <v>1</v>
          </cell>
          <cell r="N45">
            <v>1</v>
          </cell>
          <cell r="P45">
            <v>1</v>
          </cell>
          <cell r="U45">
            <v>1</v>
          </cell>
          <cell r="V45">
            <v>1</v>
          </cell>
          <cell r="Z45">
            <v>1</v>
          </cell>
          <cell r="AB45">
            <v>1</v>
          </cell>
          <cell r="AC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N45">
            <v>1</v>
          </cell>
          <cell r="AP45">
            <v>1</v>
          </cell>
          <cell r="AQ45">
            <v>1</v>
          </cell>
          <cell r="AU45">
            <v>1</v>
          </cell>
          <cell r="AW45">
            <v>1</v>
          </cell>
          <cell r="AX45">
            <v>1</v>
          </cell>
          <cell r="BB45">
            <v>1</v>
          </cell>
          <cell r="BC45">
            <v>1</v>
          </cell>
          <cell r="BD45">
            <v>6</v>
          </cell>
          <cell r="BE45">
            <v>5</v>
          </cell>
          <cell r="BF45">
            <v>1</v>
          </cell>
          <cell r="BG45">
            <v>0</v>
          </cell>
          <cell r="BH45">
            <v>0</v>
          </cell>
          <cell r="BI45">
            <v>5</v>
          </cell>
        </row>
        <row r="46">
          <cell r="C46" t="str">
            <v>Nguyễn Phương Linh</v>
          </cell>
          <cell r="D46">
            <v>1038</v>
          </cell>
          <cell r="E46" t="str">
            <v>CTCĐ</v>
          </cell>
          <cell r="G46">
            <v>1</v>
          </cell>
          <cell r="H46">
            <v>1</v>
          </cell>
          <cell r="L46">
            <v>1</v>
          </cell>
          <cell r="N46">
            <v>1</v>
          </cell>
          <cell r="O46">
            <v>1</v>
          </cell>
          <cell r="S46">
            <v>1</v>
          </cell>
          <cell r="U46">
            <v>1</v>
          </cell>
          <cell r="V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G46">
            <v>1</v>
          </cell>
          <cell r="AI46">
            <v>1</v>
          </cell>
          <cell r="AJ46">
            <v>1</v>
          </cell>
          <cell r="AN46">
            <v>1</v>
          </cell>
          <cell r="AP46">
            <v>1</v>
          </cell>
          <cell r="AQ46">
            <v>1</v>
          </cell>
          <cell r="AU46">
            <v>1</v>
          </cell>
          <cell r="AW46">
            <v>1</v>
          </cell>
          <cell r="AX46">
            <v>1</v>
          </cell>
          <cell r="BB46">
            <v>1</v>
          </cell>
          <cell r="BC46">
            <v>1</v>
          </cell>
          <cell r="BD46">
            <v>6</v>
          </cell>
          <cell r="BE46">
            <v>6</v>
          </cell>
          <cell r="BF46">
            <v>0</v>
          </cell>
          <cell r="BG46">
            <v>0</v>
          </cell>
          <cell r="BH46">
            <v>0</v>
          </cell>
          <cell r="BI46">
            <v>6</v>
          </cell>
        </row>
        <row r="47">
          <cell r="C47" t="str">
            <v>Đào Lê Đức</v>
          </cell>
          <cell r="D47">
            <v>1039</v>
          </cell>
          <cell r="G47">
            <v>1</v>
          </cell>
          <cell r="H47">
            <v>1</v>
          </cell>
          <cell r="L47">
            <v>1</v>
          </cell>
          <cell r="N47">
            <v>1</v>
          </cell>
          <cell r="O47">
            <v>1</v>
          </cell>
          <cell r="S47">
            <v>1</v>
          </cell>
          <cell r="U47">
            <v>1</v>
          </cell>
          <cell r="W47">
            <v>1</v>
          </cell>
          <cell r="AB47">
            <v>1</v>
          </cell>
          <cell r="AC47">
            <v>1</v>
          </cell>
          <cell r="AG47">
            <v>1</v>
          </cell>
          <cell r="AI47">
            <v>1</v>
          </cell>
          <cell r="AJ47">
            <v>1</v>
          </cell>
          <cell r="AN47">
            <v>1</v>
          </cell>
          <cell r="AO47">
            <v>1</v>
          </cell>
          <cell r="AP47">
            <v>1</v>
          </cell>
          <cell r="AQ47">
            <v>1</v>
          </cell>
          <cell r="AU47">
            <v>1</v>
          </cell>
          <cell r="BA47">
            <v>1</v>
          </cell>
          <cell r="BC47">
            <v>1</v>
          </cell>
          <cell r="BD47">
            <v>5</v>
          </cell>
          <cell r="BE47">
            <v>4</v>
          </cell>
          <cell r="BF47">
            <v>1</v>
          </cell>
          <cell r="BG47">
            <v>0</v>
          </cell>
          <cell r="BH47">
            <v>1</v>
          </cell>
          <cell r="BI47">
            <v>4</v>
          </cell>
        </row>
        <row r="48">
          <cell r="C48" t="str">
            <v>Phùng Mạnh Hùng</v>
          </cell>
          <cell r="D48">
            <v>1040</v>
          </cell>
          <cell r="G48">
            <v>1</v>
          </cell>
          <cell r="H48">
            <v>1</v>
          </cell>
          <cell r="L48">
            <v>1</v>
          </cell>
          <cell r="N48">
            <v>1</v>
          </cell>
          <cell r="O48">
            <v>1</v>
          </cell>
          <cell r="S48">
            <v>1</v>
          </cell>
          <cell r="U48">
            <v>1</v>
          </cell>
          <cell r="V48">
            <v>1</v>
          </cell>
          <cell r="Z48">
            <v>1</v>
          </cell>
          <cell r="AB48">
            <v>1</v>
          </cell>
          <cell r="AC48">
            <v>1</v>
          </cell>
          <cell r="AG48">
            <v>1</v>
          </cell>
          <cell r="AI48">
            <v>1</v>
          </cell>
          <cell r="AJ48">
            <v>1</v>
          </cell>
          <cell r="AN48">
            <v>1</v>
          </cell>
          <cell r="AP48">
            <v>1</v>
          </cell>
          <cell r="AW48">
            <v>1</v>
          </cell>
          <cell r="AY48">
            <v>1</v>
          </cell>
          <cell r="BC48">
            <v>0</v>
          </cell>
          <cell r="BD48">
            <v>6</v>
          </cell>
          <cell r="BE48">
            <v>4</v>
          </cell>
          <cell r="BF48">
            <v>1</v>
          </cell>
          <cell r="BG48">
            <v>0</v>
          </cell>
          <cell r="BH48">
            <v>0</v>
          </cell>
          <cell r="BI48">
            <v>4</v>
          </cell>
        </row>
        <row r="49">
          <cell r="C49" t="str">
            <v>Nguyễn Thị Vân</v>
          </cell>
          <cell r="D49">
            <v>1041</v>
          </cell>
          <cell r="G49">
            <v>1</v>
          </cell>
          <cell r="H49">
            <v>1</v>
          </cell>
          <cell r="L49">
            <v>1</v>
          </cell>
          <cell r="N49">
            <v>1</v>
          </cell>
          <cell r="O49">
            <v>1</v>
          </cell>
          <cell r="S49">
            <v>1</v>
          </cell>
          <cell r="U49">
            <v>1</v>
          </cell>
          <cell r="V49">
            <v>1</v>
          </cell>
          <cell r="Z49">
            <v>1</v>
          </cell>
          <cell r="AB49">
            <v>1</v>
          </cell>
          <cell r="AD49">
            <v>1</v>
          </cell>
          <cell r="AI49">
            <v>1</v>
          </cell>
          <cell r="AJ49">
            <v>1</v>
          </cell>
          <cell r="AN49">
            <v>1</v>
          </cell>
          <cell r="AP49">
            <v>1</v>
          </cell>
          <cell r="AW49">
            <v>1</v>
          </cell>
          <cell r="AY49">
            <v>1</v>
          </cell>
          <cell r="BC49">
            <v>0</v>
          </cell>
          <cell r="BD49">
            <v>6</v>
          </cell>
          <cell r="BE49">
            <v>3</v>
          </cell>
          <cell r="BF49">
            <v>2</v>
          </cell>
          <cell r="BG49">
            <v>0</v>
          </cell>
          <cell r="BH49">
            <v>0</v>
          </cell>
          <cell r="BI49">
            <v>3</v>
          </cell>
        </row>
        <row r="50">
          <cell r="C50" t="str">
            <v>Võ Hạnh Quyên</v>
          </cell>
          <cell r="D50">
            <v>1044</v>
          </cell>
          <cell r="AK50">
            <v>1</v>
          </cell>
          <cell r="AP50">
            <v>1</v>
          </cell>
          <cell r="AW50">
            <v>1</v>
          </cell>
          <cell r="AY50">
            <v>1</v>
          </cell>
          <cell r="BC50">
            <v>0</v>
          </cell>
          <cell r="BD50">
            <v>2</v>
          </cell>
          <cell r="BE50">
            <v>0</v>
          </cell>
          <cell r="BF50">
            <v>2</v>
          </cell>
          <cell r="BG50">
            <v>0</v>
          </cell>
          <cell r="BH50">
            <v>0</v>
          </cell>
          <cell r="BI50">
            <v>0</v>
          </cell>
        </row>
        <row r="51">
          <cell r="C51" t="str">
            <v>Bùi Thị Tú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</row>
        <row r="52">
          <cell r="C52" t="str">
            <v>Nguyễn Thị Nguyên Hồng</v>
          </cell>
          <cell r="D52">
            <v>1045</v>
          </cell>
          <cell r="E52" t="str">
            <v>Trưởng khoa</v>
          </cell>
          <cell r="F52">
            <v>1</v>
          </cell>
          <cell r="G52">
            <v>1</v>
          </cell>
          <cell r="H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N52">
            <v>1</v>
          </cell>
          <cell r="AP52">
            <v>1</v>
          </cell>
          <cell r="AW52">
            <v>1</v>
          </cell>
          <cell r="AY52">
            <v>1</v>
          </cell>
          <cell r="BB52">
            <v>1</v>
          </cell>
          <cell r="BC52">
            <v>4</v>
          </cell>
          <cell r="BD52">
            <v>6</v>
          </cell>
          <cell r="BE52">
            <v>4</v>
          </cell>
          <cell r="BF52">
            <v>1</v>
          </cell>
          <cell r="BG52">
            <v>0</v>
          </cell>
          <cell r="BH52">
            <v>0</v>
          </cell>
          <cell r="BI52">
            <v>5</v>
          </cell>
        </row>
        <row r="53">
          <cell r="C53" t="str">
            <v>Tô Ngọc Thịnh</v>
          </cell>
          <cell r="D53">
            <v>1046</v>
          </cell>
          <cell r="E53" t="str">
            <v>Trưởng bộ môn,
 BTCB (đang đi học)</v>
          </cell>
          <cell r="G53">
            <v>1</v>
          </cell>
          <cell r="H53">
            <v>1</v>
          </cell>
          <cell r="L53">
            <v>1</v>
          </cell>
          <cell r="N53">
            <v>1</v>
          </cell>
          <cell r="O53">
            <v>1</v>
          </cell>
          <cell r="S53">
            <v>1</v>
          </cell>
          <cell r="U53">
            <v>1</v>
          </cell>
          <cell r="V53">
            <v>1</v>
          </cell>
          <cell r="Z53">
            <v>1</v>
          </cell>
          <cell r="AB53">
            <v>1</v>
          </cell>
          <cell r="AC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N53">
            <v>1</v>
          </cell>
          <cell r="AP53">
            <v>1</v>
          </cell>
          <cell r="AW53">
            <v>1</v>
          </cell>
          <cell r="AX53">
            <v>1</v>
          </cell>
          <cell r="BB53">
            <v>1</v>
          </cell>
          <cell r="BC53">
            <v>1</v>
          </cell>
          <cell r="BD53">
            <v>6</v>
          </cell>
          <cell r="BE53">
            <v>5</v>
          </cell>
          <cell r="BF53">
            <v>0</v>
          </cell>
          <cell r="BG53">
            <v>0</v>
          </cell>
          <cell r="BH53">
            <v>0</v>
          </cell>
          <cell r="BI53">
            <v>5</v>
          </cell>
        </row>
        <row r="54">
          <cell r="C54" t="str">
            <v>Dương Thị Hồng Nhung</v>
          </cell>
          <cell r="D54">
            <v>1047</v>
          </cell>
          <cell r="E54" t="str">
            <v>Phó Trưởng bộ môn 
THNV Trưởng BM  từ 5/9</v>
          </cell>
          <cell r="G54">
            <v>1</v>
          </cell>
          <cell r="H54">
            <v>1</v>
          </cell>
          <cell r="L54">
            <v>1</v>
          </cell>
          <cell r="N54">
            <v>1</v>
          </cell>
          <cell r="P54">
            <v>1</v>
          </cell>
          <cell r="U54">
            <v>1</v>
          </cell>
          <cell r="W54">
            <v>1</v>
          </cell>
          <cell r="AB54">
            <v>1</v>
          </cell>
          <cell r="AD54">
            <v>1</v>
          </cell>
          <cell r="AI54">
            <v>1</v>
          </cell>
          <cell r="AJ54">
            <v>1</v>
          </cell>
          <cell r="AN54">
            <v>1</v>
          </cell>
          <cell r="AP54">
            <v>1</v>
          </cell>
          <cell r="AQ54">
            <v>1</v>
          </cell>
          <cell r="AU54">
            <v>1</v>
          </cell>
          <cell r="AW54">
            <v>1</v>
          </cell>
          <cell r="AY54">
            <v>1</v>
          </cell>
          <cell r="BC54">
            <v>0</v>
          </cell>
          <cell r="BD54">
            <v>6</v>
          </cell>
          <cell r="BE54">
            <v>2</v>
          </cell>
          <cell r="BF54">
            <v>4</v>
          </cell>
          <cell r="BG54">
            <v>0</v>
          </cell>
          <cell r="BH54">
            <v>0</v>
          </cell>
          <cell r="BI54">
            <v>2</v>
          </cell>
        </row>
        <row r="55">
          <cell r="C55" t="str">
            <v>Đỗ Thị Thu Huyền</v>
          </cell>
          <cell r="D55">
            <v>1048</v>
          </cell>
          <cell r="G55">
            <v>1</v>
          </cell>
          <cell r="H55">
            <v>1</v>
          </cell>
          <cell r="L55">
            <v>1</v>
          </cell>
          <cell r="N55">
            <v>1</v>
          </cell>
          <cell r="P55">
            <v>1</v>
          </cell>
          <cell r="U55">
            <v>1</v>
          </cell>
          <cell r="W55">
            <v>1</v>
          </cell>
          <cell r="AB55">
            <v>1</v>
          </cell>
          <cell r="AD55">
            <v>1</v>
          </cell>
          <cell r="AI55">
            <v>1</v>
          </cell>
          <cell r="AP55">
            <v>1</v>
          </cell>
          <cell r="AV55">
            <v>1</v>
          </cell>
          <cell r="AW55">
            <v>1</v>
          </cell>
          <cell r="AY55">
            <v>1</v>
          </cell>
          <cell r="BB55">
            <v>1</v>
          </cell>
          <cell r="BC55">
            <v>1</v>
          </cell>
          <cell r="BD55">
            <v>6</v>
          </cell>
          <cell r="BE55">
            <v>0</v>
          </cell>
          <cell r="BF55">
            <v>4</v>
          </cell>
          <cell r="BG55">
            <v>0</v>
          </cell>
          <cell r="BH55">
            <v>0</v>
          </cell>
          <cell r="BI55">
            <v>1</v>
          </cell>
        </row>
        <row r="56">
          <cell r="C56" t="str">
            <v>Đỗ Minh Phượng</v>
          </cell>
          <cell r="D56">
            <v>1050</v>
          </cell>
          <cell r="G56">
            <v>1</v>
          </cell>
          <cell r="I56">
            <v>1</v>
          </cell>
          <cell r="N56">
            <v>1</v>
          </cell>
          <cell r="O56">
            <v>1</v>
          </cell>
          <cell r="S56">
            <v>1</v>
          </cell>
          <cell r="U56">
            <v>1</v>
          </cell>
          <cell r="W56">
            <v>1</v>
          </cell>
          <cell r="AB56">
            <v>1</v>
          </cell>
          <cell r="AD56">
            <v>1</v>
          </cell>
          <cell r="AI56">
            <v>1</v>
          </cell>
          <cell r="AJ56">
            <v>1</v>
          </cell>
          <cell r="AN56">
            <v>1</v>
          </cell>
          <cell r="AP56">
            <v>1</v>
          </cell>
          <cell r="AW56">
            <v>1</v>
          </cell>
          <cell r="AY56">
            <v>1</v>
          </cell>
          <cell r="BC56">
            <v>0</v>
          </cell>
          <cell r="BD56">
            <v>6</v>
          </cell>
          <cell r="BE56">
            <v>2</v>
          </cell>
          <cell r="BF56">
            <v>3</v>
          </cell>
          <cell r="BG56">
            <v>0</v>
          </cell>
          <cell r="BH56">
            <v>0</v>
          </cell>
          <cell r="BI56">
            <v>2</v>
          </cell>
        </row>
        <row r="57">
          <cell r="C57" t="str">
            <v>Nguyễn Thị Thanh Nga</v>
          </cell>
          <cell r="D57">
            <v>1051</v>
          </cell>
          <cell r="AB57">
            <v>1</v>
          </cell>
          <cell r="AD57">
            <v>1</v>
          </cell>
          <cell r="AI57">
            <v>1</v>
          </cell>
          <cell r="AJ57">
            <v>1</v>
          </cell>
          <cell r="AN57">
            <v>1</v>
          </cell>
          <cell r="AP57">
            <v>1</v>
          </cell>
          <cell r="AW57">
            <v>1</v>
          </cell>
          <cell r="AY57">
            <v>1</v>
          </cell>
          <cell r="BC57">
            <v>0</v>
          </cell>
          <cell r="BD57">
            <v>4</v>
          </cell>
          <cell r="BE57">
            <v>1</v>
          </cell>
          <cell r="BF57">
            <v>2</v>
          </cell>
          <cell r="BG57">
            <v>0</v>
          </cell>
          <cell r="BH57">
            <v>0</v>
          </cell>
          <cell r="BI57">
            <v>1</v>
          </cell>
        </row>
        <row r="58">
          <cell r="C58" t="str">
            <v>Vương Thùy Linh</v>
          </cell>
          <cell r="D58">
            <v>1052</v>
          </cell>
          <cell r="AB58">
            <v>1</v>
          </cell>
          <cell r="AD58">
            <v>1</v>
          </cell>
          <cell r="AI58">
            <v>1</v>
          </cell>
          <cell r="AJ58">
            <v>1</v>
          </cell>
          <cell r="AN58">
            <v>1</v>
          </cell>
          <cell r="AP58">
            <v>1</v>
          </cell>
          <cell r="AW58">
            <v>1</v>
          </cell>
          <cell r="AY58">
            <v>1</v>
          </cell>
          <cell r="BC58">
            <v>0</v>
          </cell>
          <cell r="BD58">
            <v>4</v>
          </cell>
          <cell r="BE58">
            <v>1</v>
          </cell>
          <cell r="BF58">
            <v>2</v>
          </cell>
          <cell r="BG58">
            <v>0</v>
          </cell>
          <cell r="BH58">
            <v>0</v>
          </cell>
          <cell r="BI58">
            <v>1</v>
          </cell>
        </row>
        <row r="59">
          <cell r="C59" t="str">
            <v>Nguyễn Thị Thúy Ngân</v>
          </cell>
          <cell r="D59">
            <v>1755</v>
          </cell>
          <cell r="AW59">
            <v>1</v>
          </cell>
          <cell r="AY59">
            <v>1</v>
          </cell>
          <cell r="BC59">
            <v>0</v>
          </cell>
          <cell r="BD59">
            <v>1</v>
          </cell>
          <cell r="BE59">
            <v>0</v>
          </cell>
          <cell r="BF59">
            <v>1</v>
          </cell>
          <cell r="BG59">
            <v>0</v>
          </cell>
          <cell r="BH59">
            <v>0</v>
          </cell>
          <cell r="BI59">
            <v>0</v>
          </cell>
        </row>
        <row r="60">
          <cell r="C60" t="str">
            <v>Hà Thị Duyên</v>
          </cell>
          <cell r="D60">
            <v>1053</v>
          </cell>
          <cell r="G60">
            <v>1</v>
          </cell>
          <cell r="I60">
            <v>1</v>
          </cell>
          <cell r="N60">
            <v>1</v>
          </cell>
          <cell r="O60">
            <v>1</v>
          </cell>
          <cell r="S60">
            <v>1</v>
          </cell>
          <cell r="U60">
            <v>1</v>
          </cell>
          <cell r="V60">
            <v>1</v>
          </cell>
          <cell r="Z60">
            <v>1</v>
          </cell>
          <cell r="AB60">
            <v>1</v>
          </cell>
          <cell r="AC60">
            <v>1</v>
          </cell>
          <cell r="AG60">
            <v>1</v>
          </cell>
          <cell r="AI60">
            <v>1</v>
          </cell>
          <cell r="AJ60">
            <v>1</v>
          </cell>
          <cell r="AN60">
            <v>1</v>
          </cell>
          <cell r="AP60">
            <v>1</v>
          </cell>
          <cell r="AV60">
            <v>1</v>
          </cell>
          <cell r="AW60">
            <v>1</v>
          </cell>
          <cell r="AY60">
            <v>1</v>
          </cell>
          <cell r="BB60">
            <v>1</v>
          </cell>
          <cell r="BC60">
            <v>1</v>
          </cell>
          <cell r="BD60">
            <v>5</v>
          </cell>
          <cell r="BE60">
            <v>3</v>
          </cell>
          <cell r="BF60">
            <v>1</v>
          </cell>
          <cell r="BG60">
            <v>0</v>
          </cell>
          <cell r="BH60">
            <v>0</v>
          </cell>
          <cell r="BI60">
            <v>4</v>
          </cell>
        </row>
        <row r="61">
          <cell r="C61" t="str">
            <v>Vũ Lan Hương</v>
          </cell>
          <cell r="D61">
            <v>1054</v>
          </cell>
          <cell r="E61" t="str">
            <v>PCNV Phó Trưởng
 khoa, PBTCB</v>
          </cell>
          <cell r="G61">
            <v>1</v>
          </cell>
          <cell r="H61">
            <v>1</v>
          </cell>
          <cell r="L61">
            <v>1</v>
          </cell>
          <cell r="N61">
            <v>1</v>
          </cell>
          <cell r="O61">
            <v>1</v>
          </cell>
          <cell r="S61">
            <v>1</v>
          </cell>
          <cell r="U61">
            <v>1</v>
          </cell>
          <cell r="W61">
            <v>1</v>
          </cell>
          <cell r="AB61">
            <v>1</v>
          </cell>
          <cell r="AD61">
            <v>1</v>
          </cell>
          <cell r="AI61">
            <v>1</v>
          </cell>
          <cell r="AJ61">
            <v>1</v>
          </cell>
          <cell r="AN61">
            <v>1</v>
          </cell>
          <cell r="AP61">
            <v>1</v>
          </cell>
          <cell r="AQ61">
            <v>1</v>
          </cell>
          <cell r="AU61">
            <v>1</v>
          </cell>
          <cell r="AW61">
            <v>1</v>
          </cell>
          <cell r="AY61">
            <v>1</v>
          </cell>
          <cell r="BB61">
            <v>1</v>
          </cell>
          <cell r="BC61">
            <v>0</v>
          </cell>
          <cell r="BD61">
            <v>6</v>
          </cell>
          <cell r="BE61">
            <v>3</v>
          </cell>
          <cell r="BF61">
            <v>3</v>
          </cell>
          <cell r="BG61">
            <v>0</v>
          </cell>
          <cell r="BH61">
            <v>0</v>
          </cell>
          <cell r="BI61">
            <v>4</v>
          </cell>
        </row>
        <row r="62">
          <cell r="C62" t="str">
            <v>Nguyễn Thùy Trang</v>
          </cell>
          <cell r="D62">
            <v>1055</v>
          </cell>
          <cell r="E62" t="str">
            <v>PCNV Phó Trưởng
 BM phụ trách BM</v>
          </cell>
          <cell r="G62">
            <v>1</v>
          </cell>
          <cell r="I62">
            <v>1</v>
          </cell>
          <cell r="N62">
            <v>1</v>
          </cell>
          <cell r="P62">
            <v>1</v>
          </cell>
          <cell r="U62">
            <v>1</v>
          </cell>
          <cell r="W62">
            <v>1</v>
          </cell>
          <cell r="AE62">
            <v>1</v>
          </cell>
          <cell r="AI62">
            <v>1</v>
          </cell>
          <cell r="AJ62">
            <v>1</v>
          </cell>
          <cell r="AN62">
            <v>1</v>
          </cell>
          <cell r="AP62">
            <v>1</v>
          </cell>
          <cell r="AV62">
            <v>1</v>
          </cell>
          <cell r="AW62">
            <v>1</v>
          </cell>
          <cell r="AY62">
            <v>1</v>
          </cell>
          <cell r="BB62">
            <v>1</v>
          </cell>
          <cell r="BC62">
            <v>1</v>
          </cell>
          <cell r="BD62">
            <v>5</v>
          </cell>
          <cell r="BE62">
            <v>1</v>
          </cell>
          <cell r="BF62">
            <v>3</v>
          </cell>
          <cell r="BG62">
            <v>1</v>
          </cell>
          <cell r="BH62">
            <v>0</v>
          </cell>
          <cell r="BI62">
            <v>2</v>
          </cell>
        </row>
        <row r="63">
          <cell r="C63" t="str">
            <v>Vũ Thị Thu Huyền</v>
          </cell>
          <cell r="D63">
            <v>1057</v>
          </cell>
          <cell r="G63">
            <v>1</v>
          </cell>
          <cell r="I63">
            <v>1</v>
          </cell>
          <cell r="Q63">
            <v>1</v>
          </cell>
          <cell r="U63">
            <v>1</v>
          </cell>
          <cell r="W63">
            <v>1</v>
          </cell>
          <cell r="AB63">
            <v>1</v>
          </cell>
          <cell r="AD63">
            <v>1</v>
          </cell>
          <cell r="AI63">
            <v>1</v>
          </cell>
          <cell r="AK63">
            <v>1</v>
          </cell>
          <cell r="AP63">
            <v>1</v>
          </cell>
          <cell r="BA63">
            <v>1</v>
          </cell>
          <cell r="BC63">
            <v>0</v>
          </cell>
          <cell r="BD63">
            <v>4</v>
          </cell>
          <cell r="BE63">
            <v>0</v>
          </cell>
          <cell r="BF63">
            <v>3</v>
          </cell>
          <cell r="BG63">
            <v>1</v>
          </cell>
          <cell r="BH63">
            <v>1</v>
          </cell>
          <cell r="BI63">
            <v>0</v>
          </cell>
        </row>
        <row r="64">
          <cell r="C64" t="str">
            <v>Đỗ Công Nguyên</v>
          </cell>
          <cell r="D64">
            <v>1058</v>
          </cell>
          <cell r="G64">
            <v>1</v>
          </cell>
          <cell r="I64">
            <v>1</v>
          </cell>
          <cell r="Q64">
            <v>1</v>
          </cell>
          <cell r="X64">
            <v>1</v>
          </cell>
          <cell r="AB64">
            <v>1</v>
          </cell>
          <cell r="AD64">
            <v>1</v>
          </cell>
          <cell r="AI64">
            <v>1</v>
          </cell>
          <cell r="AJ64">
            <v>1</v>
          </cell>
          <cell r="AN64">
            <v>1</v>
          </cell>
          <cell r="AP64">
            <v>1</v>
          </cell>
          <cell r="AZ64">
            <v>1</v>
          </cell>
          <cell r="BC64">
            <v>0</v>
          </cell>
          <cell r="BD64">
            <v>3</v>
          </cell>
          <cell r="BE64">
            <v>1</v>
          </cell>
          <cell r="BF64">
            <v>1</v>
          </cell>
          <cell r="BG64">
            <v>3</v>
          </cell>
          <cell r="BH64">
            <v>0</v>
          </cell>
          <cell r="BI64">
            <v>1</v>
          </cell>
        </row>
        <row r="65">
          <cell r="C65" t="str">
            <v>Trần Hùng Đức</v>
          </cell>
          <cell r="D65">
            <v>1391</v>
          </cell>
          <cell r="AI65">
            <v>1</v>
          </cell>
          <cell r="AK65">
            <v>1</v>
          </cell>
          <cell r="AO65">
            <v>1</v>
          </cell>
          <cell r="AP65">
            <v>1</v>
          </cell>
          <cell r="AQ65">
            <v>1</v>
          </cell>
          <cell r="AU65">
            <v>1</v>
          </cell>
          <cell r="AW65">
            <v>1</v>
          </cell>
          <cell r="AY65">
            <v>1</v>
          </cell>
          <cell r="BC65">
            <v>1</v>
          </cell>
          <cell r="BD65">
            <v>3</v>
          </cell>
          <cell r="BE65">
            <v>1</v>
          </cell>
          <cell r="BF65">
            <v>2</v>
          </cell>
          <cell r="BG65">
            <v>0</v>
          </cell>
          <cell r="BH65">
            <v>0</v>
          </cell>
          <cell r="BI65">
            <v>1</v>
          </cell>
        </row>
        <row r="66">
          <cell r="C66" t="str">
            <v>Trần Thị Tuyết</v>
          </cell>
          <cell r="D66">
            <v>1059</v>
          </cell>
          <cell r="AP66">
            <v>1</v>
          </cell>
          <cell r="AW66">
            <v>1</v>
          </cell>
          <cell r="AX66">
            <v>1</v>
          </cell>
          <cell r="BB66">
            <v>1</v>
          </cell>
          <cell r="BC66">
            <v>0</v>
          </cell>
          <cell r="BD66">
            <v>2</v>
          </cell>
          <cell r="BE66">
            <v>1</v>
          </cell>
          <cell r="BF66">
            <v>0</v>
          </cell>
          <cell r="BG66">
            <v>0</v>
          </cell>
          <cell r="BH66">
            <v>0</v>
          </cell>
          <cell r="BI66">
            <v>1</v>
          </cell>
        </row>
        <row r="67">
          <cell r="C67" t="str">
            <v>Nguyễn Viết Thái</v>
          </cell>
          <cell r="D67">
            <v>1569</v>
          </cell>
          <cell r="E67" t="str">
            <v>CTCĐT</v>
          </cell>
          <cell r="F67">
            <v>1</v>
          </cell>
          <cell r="G67">
            <v>1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N67">
            <v>1</v>
          </cell>
          <cell r="AP67">
            <v>1</v>
          </cell>
          <cell r="AV67">
            <v>1</v>
          </cell>
          <cell r="AW67">
            <v>1</v>
          </cell>
          <cell r="AY67">
            <v>1</v>
          </cell>
          <cell r="BB67">
            <v>1</v>
          </cell>
          <cell r="BC67">
            <v>5</v>
          </cell>
          <cell r="BD67">
            <v>6</v>
          </cell>
          <cell r="BE67">
            <v>4</v>
          </cell>
          <cell r="BF67">
            <v>1</v>
          </cell>
          <cell r="BG67">
            <v>0</v>
          </cell>
          <cell r="BH67">
            <v>0</v>
          </cell>
          <cell r="BI67">
            <v>5</v>
          </cell>
        </row>
        <row r="68">
          <cell r="C68" t="str">
            <v>Nguyễn Thị Quỳnh Hương</v>
          </cell>
          <cell r="D68">
            <v>1060</v>
          </cell>
          <cell r="E68" t="str">
            <v>Trưởng bộ môn</v>
          </cell>
          <cell r="G68">
            <v>1</v>
          </cell>
          <cell r="I68">
            <v>1</v>
          </cell>
          <cell r="M68">
            <v>1</v>
          </cell>
          <cell r="N68">
            <v>1</v>
          </cell>
          <cell r="O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N68">
            <v>1</v>
          </cell>
          <cell r="AP68">
            <v>1</v>
          </cell>
          <cell r="AW68">
            <v>1</v>
          </cell>
          <cell r="AY68">
            <v>1</v>
          </cell>
          <cell r="BB68">
            <v>1</v>
          </cell>
          <cell r="BC68">
            <v>4</v>
          </cell>
          <cell r="BD68">
            <v>6</v>
          </cell>
          <cell r="BE68">
            <v>4</v>
          </cell>
          <cell r="BF68">
            <v>1</v>
          </cell>
          <cell r="BG68">
            <v>0</v>
          </cell>
          <cell r="BH68">
            <v>0</v>
          </cell>
          <cell r="BI68">
            <v>5</v>
          </cell>
        </row>
        <row r="69">
          <cell r="C69" t="str">
            <v>Hoàng Thị Lan</v>
          </cell>
          <cell r="D69">
            <v>1061</v>
          </cell>
          <cell r="G69">
            <v>1</v>
          </cell>
          <cell r="I69">
            <v>1</v>
          </cell>
          <cell r="N69">
            <v>1</v>
          </cell>
          <cell r="P69">
            <v>1</v>
          </cell>
          <cell r="U69">
            <v>1</v>
          </cell>
          <cell r="W69">
            <v>1</v>
          </cell>
          <cell r="AB69">
            <v>1</v>
          </cell>
          <cell r="AD69">
            <v>1</v>
          </cell>
          <cell r="AL69">
            <v>1</v>
          </cell>
          <cell r="AP69">
            <v>1</v>
          </cell>
          <cell r="AQ69">
            <v>1</v>
          </cell>
          <cell r="AU69">
            <v>1</v>
          </cell>
          <cell r="AW69">
            <v>1</v>
          </cell>
          <cell r="AY69">
            <v>1</v>
          </cell>
          <cell r="BC69">
            <v>0</v>
          </cell>
          <cell r="BD69">
            <v>5</v>
          </cell>
          <cell r="BE69">
            <v>1</v>
          </cell>
          <cell r="BF69">
            <v>4</v>
          </cell>
          <cell r="BG69">
            <v>1</v>
          </cell>
          <cell r="BH69">
            <v>0</v>
          </cell>
          <cell r="BI69">
            <v>1</v>
          </cell>
        </row>
        <row r="70">
          <cell r="C70" t="str">
            <v>Dương Hồng Hạnh</v>
          </cell>
          <cell r="D70">
            <v>1062</v>
          </cell>
          <cell r="G70">
            <v>1</v>
          </cell>
          <cell r="H70">
            <v>1</v>
          </cell>
          <cell r="L70">
            <v>1</v>
          </cell>
          <cell r="N70">
            <v>1</v>
          </cell>
          <cell r="O70">
            <v>1</v>
          </cell>
          <cell r="S70">
            <v>1</v>
          </cell>
          <cell r="U70">
            <v>1</v>
          </cell>
          <cell r="V70">
            <v>1</v>
          </cell>
          <cell r="Z70">
            <v>1</v>
          </cell>
          <cell r="AB70">
            <v>1</v>
          </cell>
          <cell r="AC70">
            <v>1</v>
          </cell>
          <cell r="AG70">
            <v>1</v>
          </cell>
          <cell r="AI70">
            <v>1</v>
          </cell>
          <cell r="AJ70">
            <v>1</v>
          </cell>
          <cell r="AN70">
            <v>1</v>
          </cell>
          <cell r="AP70">
            <v>1</v>
          </cell>
          <cell r="AQ70">
            <v>1</v>
          </cell>
          <cell r="AU70">
            <v>1</v>
          </cell>
          <cell r="AV70">
            <v>1</v>
          </cell>
          <cell r="AW70">
            <v>1</v>
          </cell>
          <cell r="AY70">
            <v>1</v>
          </cell>
          <cell r="BB70">
            <v>1</v>
          </cell>
          <cell r="BC70">
            <v>1</v>
          </cell>
          <cell r="BD70">
            <v>6</v>
          </cell>
          <cell r="BE70">
            <v>5</v>
          </cell>
          <cell r="BF70">
            <v>1</v>
          </cell>
          <cell r="BG70">
            <v>0</v>
          </cell>
          <cell r="BH70">
            <v>0</v>
          </cell>
          <cell r="BI70">
            <v>6</v>
          </cell>
        </row>
        <row r="71">
          <cell r="C71" t="str">
            <v>Hoàng Thị Thu Trang</v>
          </cell>
          <cell r="D71">
            <v>1063</v>
          </cell>
          <cell r="E71" t="str">
            <v>Phó Trưởng bộ môn,
 CUV</v>
          </cell>
          <cell r="G71">
            <v>1</v>
          </cell>
          <cell r="H71">
            <v>1</v>
          </cell>
          <cell r="L71">
            <v>1</v>
          </cell>
          <cell r="N71">
            <v>1</v>
          </cell>
          <cell r="O71">
            <v>1</v>
          </cell>
          <cell r="S71">
            <v>1</v>
          </cell>
          <cell r="U71">
            <v>1</v>
          </cell>
          <cell r="W71">
            <v>1</v>
          </cell>
          <cell r="AB71">
            <v>1</v>
          </cell>
          <cell r="AD71">
            <v>1</v>
          </cell>
          <cell r="AI71">
            <v>1</v>
          </cell>
          <cell r="AJ71">
            <v>1</v>
          </cell>
          <cell r="AN71">
            <v>1</v>
          </cell>
          <cell r="AP71">
            <v>1</v>
          </cell>
          <cell r="AQ71">
            <v>1</v>
          </cell>
          <cell r="AU71">
            <v>1</v>
          </cell>
          <cell r="AW71">
            <v>1</v>
          </cell>
          <cell r="AX71">
            <v>1</v>
          </cell>
          <cell r="BB71">
            <v>1</v>
          </cell>
          <cell r="BC71">
            <v>0</v>
          </cell>
          <cell r="BD71">
            <v>6</v>
          </cell>
          <cell r="BE71">
            <v>4</v>
          </cell>
          <cell r="BF71">
            <v>2</v>
          </cell>
          <cell r="BG71">
            <v>0</v>
          </cell>
          <cell r="BH71">
            <v>0</v>
          </cell>
          <cell r="BI71">
            <v>4</v>
          </cell>
        </row>
        <row r="72">
          <cell r="C72" t="str">
            <v>Kiều Thu Hương</v>
          </cell>
          <cell r="D72">
            <v>1064</v>
          </cell>
          <cell r="E72" t="str">
            <v>CTCĐ</v>
          </cell>
          <cell r="G72">
            <v>1</v>
          </cell>
          <cell r="H72">
            <v>1</v>
          </cell>
          <cell r="L72">
            <v>1</v>
          </cell>
          <cell r="N72">
            <v>1</v>
          </cell>
          <cell r="P72">
            <v>1</v>
          </cell>
          <cell r="U72">
            <v>1</v>
          </cell>
          <cell r="W72">
            <v>1</v>
          </cell>
          <cell r="AB72">
            <v>1</v>
          </cell>
          <cell r="AD72">
            <v>1</v>
          </cell>
          <cell r="AI72">
            <v>1</v>
          </cell>
          <cell r="AJ72">
            <v>1</v>
          </cell>
          <cell r="AN72">
            <v>1</v>
          </cell>
          <cell r="AP72">
            <v>1</v>
          </cell>
          <cell r="AQ72">
            <v>1</v>
          </cell>
          <cell r="AU72">
            <v>1</v>
          </cell>
          <cell r="AV72">
            <v>1</v>
          </cell>
          <cell r="AW72">
            <v>1</v>
          </cell>
          <cell r="AY72">
            <v>1</v>
          </cell>
          <cell r="BB72">
            <v>1</v>
          </cell>
          <cell r="BC72">
            <v>1</v>
          </cell>
          <cell r="BD72">
            <v>6</v>
          </cell>
          <cell r="BE72">
            <v>2</v>
          </cell>
          <cell r="BF72">
            <v>4</v>
          </cell>
          <cell r="BG72">
            <v>0</v>
          </cell>
          <cell r="BH72">
            <v>0</v>
          </cell>
          <cell r="BI72">
            <v>3</v>
          </cell>
        </row>
        <row r="73">
          <cell r="C73" t="str">
            <v>Nguyễn Thị Huyền Ngân</v>
          </cell>
          <cell r="D73">
            <v>1065</v>
          </cell>
          <cell r="E73" t="str">
            <v>BTCĐ</v>
          </cell>
          <cell r="G73">
            <v>1</v>
          </cell>
          <cell r="H73">
            <v>1</v>
          </cell>
          <cell r="L73">
            <v>1</v>
          </cell>
          <cell r="N73">
            <v>1</v>
          </cell>
          <cell r="O73">
            <v>1</v>
          </cell>
          <cell r="S73">
            <v>1</v>
          </cell>
          <cell r="U73">
            <v>1</v>
          </cell>
          <cell r="V73">
            <v>1</v>
          </cell>
          <cell r="Z73">
            <v>1</v>
          </cell>
          <cell r="AB73">
            <v>1</v>
          </cell>
          <cell r="AD73">
            <v>1</v>
          </cell>
          <cell r="AI73">
            <v>1</v>
          </cell>
          <cell r="AJ73">
            <v>1</v>
          </cell>
          <cell r="AN73">
            <v>1</v>
          </cell>
          <cell r="AP73">
            <v>1</v>
          </cell>
          <cell r="AQ73">
            <v>1</v>
          </cell>
          <cell r="AU73">
            <v>1</v>
          </cell>
          <cell r="AW73">
            <v>1</v>
          </cell>
          <cell r="AX73">
            <v>1</v>
          </cell>
          <cell r="BB73">
            <v>1</v>
          </cell>
          <cell r="BC73">
            <v>0</v>
          </cell>
          <cell r="BD73">
            <v>6</v>
          </cell>
          <cell r="BE73">
            <v>5</v>
          </cell>
          <cell r="BF73">
            <v>1</v>
          </cell>
          <cell r="BG73">
            <v>0</v>
          </cell>
          <cell r="BH73">
            <v>0</v>
          </cell>
          <cell r="BI73">
            <v>5</v>
          </cell>
        </row>
        <row r="74">
          <cell r="C74" t="str">
            <v>Bùi Thị Quỳnh Trang</v>
          </cell>
          <cell r="D74">
            <v>1066</v>
          </cell>
          <cell r="G74">
            <v>1</v>
          </cell>
          <cell r="I74">
            <v>1</v>
          </cell>
          <cell r="N74">
            <v>1</v>
          </cell>
          <cell r="O74">
            <v>1</v>
          </cell>
          <cell r="S74">
            <v>1</v>
          </cell>
          <cell r="U74">
            <v>1</v>
          </cell>
          <cell r="V74">
            <v>1</v>
          </cell>
          <cell r="Z74">
            <v>1</v>
          </cell>
          <cell r="AB74">
            <v>1</v>
          </cell>
          <cell r="AC74">
            <v>1</v>
          </cell>
          <cell r="AG74">
            <v>1</v>
          </cell>
          <cell r="AI74">
            <v>1</v>
          </cell>
          <cell r="AJ74">
            <v>1</v>
          </cell>
          <cell r="AN74">
            <v>1</v>
          </cell>
          <cell r="AP74">
            <v>1</v>
          </cell>
          <cell r="AQ74">
            <v>1</v>
          </cell>
          <cell r="AU74">
            <v>1</v>
          </cell>
          <cell r="AW74">
            <v>1</v>
          </cell>
          <cell r="AY74">
            <v>1</v>
          </cell>
          <cell r="BB74">
            <v>1</v>
          </cell>
          <cell r="BC74">
            <v>0</v>
          </cell>
          <cell r="BD74">
            <v>6</v>
          </cell>
          <cell r="BE74">
            <v>5</v>
          </cell>
          <cell r="BF74">
            <v>1</v>
          </cell>
          <cell r="BG74">
            <v>0</v>
          </cell>
          <cell r="BH74">
            <v>0</v>
          </cell>
          <cell r="BI74">
            <v>6</v>
          </cell>
        </row>
        <row r="75">
          <cell r="C75" t="str">
            <v>Trần Minh Phương</v>
          </cell>
          <cell r="D75">
            <v>1067</v>
          </cell>
          <cell r="G75">
            <v>1</v>
          </cell>
          <cell r="I75">
            <v>1</v>
          </cell>
          <cell r="N75">
            <v>1</v>
          </cell>
          <cell r="O75">
            <v>1</v>
          </cell>
          <cell r="S75">
            <v>1</v>
          </cell>
          <cell r="U75">
            <v>1</v>
          </cell>
          <cell r="V75">
            <v>1</v>
          </cell>
          <cell r="Z75">
            <v>1</v>
          </cell>
          <cell r="AB75">
            <v>1</v>
          </cell>
          <cell r="AD75">
            <v>1</v>
          </cell>
          <cell r="AI75">
            <v>1</v>
          </cell>
          <cell r="AK75">
            <v>1</v>
          </cell>
          <cell r="AW75">
            <v>1</v>
          </cell>
          <cell r="AY75">
            <v>1</v>
          </cell>
          <cell r="BC75">
            <v>0</v>
          </cell>
          <cell r="BD75">
            <v>5</v>
          </cell>
          <cell r="BE75">
            <v>2</v>
          </cell>
          <cell r="BF75">
            <v>3</v>
          </cell>
          <cell r="BG75">
            <v>0</v>
          </cell>
          <cell r="BH75">
            <v>0</v>
          </cell>
          <cell r="BI75">
            <v>2</v>
          </cell>
        </row>
        <row r="76">
          <cell r="C76" t="str">
            <v>Hoàng Văn Thành</v>
          </cell>
          <cell r="E76" t="str">
            <v>chờ hưu tháng 11/2023</v>
          </cell>
          <cell r="F76">
            <v>1</v>
          </cell>
          <cell r="G76">
            <v>1</v>
          </cell>
          <cell r="H76">
            <v>1</v>
          </cell>
          <cell r="L76">
            <v>1</v>
          </cell>
          <cell r="N76">
            <v>1</v>
          </cell>
          <cell r="P76">
            <v>1</v>
          </cell>
          <cell r="U76">
            <v>1</v>
          </cell>
          <cell r="W76">
            <v>1</v>
          </cell>
          <cell r="AB76">
            <v>1</v>
          </cell>
          <cell r="AD76">
            <v>1</v>
          </cell>
          <cell r="AI76">
            <v>1</v>
          </cell>
          <cell r="AK76">
            <v>1</v>
          </cell>
          <cell r="AP76">
            <v>1</v>
          </cell>
          <cell r="BC76">
            <v>0</v>
          </cell>
          <cell r="BD76">
            <v>5</v>
          </cell>
          <cell r="BE76">
            <v>0</v>
          </cell>
          <cell r="BF76">
            <v>4</v>
          </cell>
          <cell r="BG76">
            <v>0</v>
          </cell>
          <cell r="BH76">
            <v>0</v>
          </cell>
          <cell r="BI76">
            <v>0</v>
          </cell>
        </row>
        <row r="77">
          <cell r="C77" t="str">
            <v>Bùi Xuân Nhàn</v>
          </cell>
          <cell r="F77">
            <v>1</v>
          </cell>
          <cell r="G77">
            <v>1</v>
          </cell>
          <cell r="H77">
            <v>1</v>
          </cell>
          <cell r="L77">
            <v>1</v>
          </cell>
          <cell r="N77">
            <v>1</v>
          </cell>
          <cell r="O77">
            <v>1</v>
          </cell>
          <cell r="S77">
            <v>1</v>
          </cell>
          <cell r="U77">
            <v>1</v>
          </cell>
          <cell r="W77">
            <v>1</v>
          </cell>
          <cell r="AB77">
            <v>1</v>
          </cell>
          <cell r="AD77">
            <v>1</v>
          </cell>
          <cell r="AI77">
            <v>1</v>
          </cell>
          <cell r="AK77">
            <v>1</v>
          </cell>
          <cell r="AP77">
            <v>1</v>
          </cell>
          <cell r="AQ77">
            <v>1</v>
          </cell>
          <cell r="AU77">
            <v>1</v>
          </cell>
          <cell r="BC77">
            <v>0</v>
          </cell>
          <cell r="BD77">
            <v>5</v>
          </cell>
          <cell r="BE77">
            <v>2</v>
          </cell>
          <cell r="BF77">
            <v>3</v>
          </cell>
          <cell r="BG77">
            <v>0</v>
          </cell>
          <cell r="BH77">
            <v>0</v>
          </cell>
          <cell r="BI77">
            <v>2</v>
          </cell>
        </row>
        <row r="78">
          <cell r="C78" t="str">
            <v>Phan Thị Thu Hoài</v>
          </cell>
          <cell r="D78">
            <v>1070</v>
          </cell>
          <cell r="E78" t="str">
            <v>Trưởng khoa, BTCB</v>
          </cell>
          <cell r="F78">
            <v>1</v>
          </cell>
          <cell r="G78">
            <v>1</v>
          </cell>
          <cell r="H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S78">
            <v>1</v>
          </cell>
          <cell r="T78">
            <v>1</v>
          </cell>
          <cell r="U78">
            <v>1</v>
          </cell>
          <cell r="V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G78">
            <v>1</v>
          </cell>
          <cell r="AI78">
            <v>1</v>
          </cell>
          <cell r="AK78">
            <v>1</v>
          </cell>
          <cell r="AV78">
            <v>1</v>
          </cell>
          <cell r="AW78">
            <v>1</v>
          </cell>
          <cell r="AY78">
            <v>1</v>
          </cell>
          <cell r="BB78">
            <v>1</v>
          </cell>
          <cell r="BC78">
            <v>4</v>
          </cell>
          <cell r="BD78">
            <v>5</v>
          </cell>
          <cell r="BE78">
            <v>3</v>
          </cell>
          <cell r="BF78">
            <v>2</v>
          </cell>
          <cell r="BG78">
            <v>0</v>
          </cell>
          <cell r="BH78">
            <v>0</v>
          </cell>
          <cell r="BI78">
            <v>4</v>
          </cell>
        </row>
        <row r="79">
          <cell r="C79" t="str">
            <v>Cao Tuấn Khanh</v>
          </cell>
          <cell r="D79">
            <v>1071</v>
          </cell>
          <cell r="E79" t="str">
            <v>Trưởng bộ môn, PBTCB</v>
          </cell>
          <cell r="F79">
            <v>1</v>
          </cell>
          <cell r="G79">
            <v>1</v>
          </cell>
          <cell r="H79">
            <v>1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S79">
            <v>1</v>
          </cell>
          <cell r="T79">
            <v>1</v>
          </cell>
          <cell r="U79">
            <v>1</v>
          </cell>
          <cell r="V79">
            <v>1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N79">
            <v>1</v>
          </cell>
          <cell r="AP79">
            <v>1</v>
          </cell>
          <cell r="AW79">
            <v>1</v>
          </cell>
          <cell r="AY79">
            <v>1</v>
          </cell>
          <cell r="BC79">
            <v>4</v>
          </cell>
          <cell r="BD79">
            <v>6</v>
          </cell>
          <cell r="BE79">
            <v>4</v>
          </cell>
          <cell r="BF79">
            <v>1</v>
          </cell>
          <cell r="BG79">
            <v>0</v>
          </cell>
          <cell r="BH79">
            <v>0</v>
          </cell>
          <cell r="BI79">
            <v>4</v>
          </cell>
        </row>
        <row r="80">
          <cell r="C80" t="str">
            <v>Nguyễn Tiến Dũng</v>
          </cell>
          <cell r="D80">
            <v>1072</v>
          </cell>
          <cell r="F80">
            <v>1</v>
          </cell>
          <cell r="G80">
            <v>1</v>
          </cell>
          <cell r="H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S80">
            <v>1</v>
          </cell>
          <cell r="U80">
            <v>1</v>
          </cell>
          <cell r="V80">
            <v>1</v>
          </cell>
          <cell r="Z80">
            <v>1</v>
          </cell>
          <cell r="AB80">
            <v>1</v>
          </cell>
          <cell r="AC80">
            <v>1</v>
          </cell>
          <cell r="AG80">
            <v>1</v>
          </cell>
          <cell r="AI80">
            <v>1</v>
          </cell>
          <cell r="AJ80">
            <v>1</v>
          </cell>
          <cell r="AN80">
            <v>1</v>
          </cell>
          <cell r="AP80">
            <v>1</v>
          </cell>
          <cell r="AW80">
            <v>1</v>
          </cell>
          <cell r="AY80">
            <v>1</v>
          </cell>
          <cell r="BC80">
            <v>1</v>
          </cell>
          <cell r="BD80">
            <v>6</v>
          </cell>
          <cell r="BE80">
            <v>4</v>
          </cell>
          <cell r="BF80">
            <v>1</v>
          </cell>
          <cell r="BG80">
            <v>0</v>
          </cell>
          <cell r="BH80">
            <v>0</v>
          </cell>
          <cell r="BI80">
            <v>4</v>
          </cell>
        </row>
        <row r="81">
          <cell r="C81" t="str">
            <v xml:space="preserve">Nguyễn Hoàng Long </v>
          </cell>
          <cell r="D81">
            <v>1073</v>
          </cell>
          <cell r="F81">
            <v>1</v>
          </cell>
          <cell r="G81">
            <v>1</v>
          </cell>
          <cell r="H81">
            <v>1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S81">
            <v>1</v>
          </cell>
          <cell r="U81">
            <v>1</v>
          </cell>
          <cell r="V81">
            <v>1</v>
          </cell>
          <cell r="Z81">
            <v>1</v>
          </cell>
          <cell r="AB81">
            <v>1</v>
          </cell>
          <cell r="AC81">
            <v>1</v>
          </cell>
          <cell r="AG81">
            <v>1</v>
          </cell>
          <cell r="AI81">
            <v>1</v>
          </cell>
          <cell r="AJ81">
            <v>1</v>
          </cell>
          <cell r="AN81">
            <v>1</v>
          </cell>
          <cell r="AP81">
            <v>1</v>
          </cell>
          <cell r="AQ81">
            <v>1</v>
          </cell>
          <cell r="AU81">
            <v>1</v>
          </cell>
          <cell r="AW81">
            <v>1</v>
          </cell>
          <cell r="AY81">
            <v>1</v>
          </cell>
          <cell r="BB81">
            <v>1</v>
          </cell>
          <cell r="BC81">
            <v>1</v>
          </cell>
          <cell r="BD81">
            <v>6</v>
          </cell>
          <cell r="BE81">
            <v>5</v>
          </cell>
          <cell r="BF81">
            <v>1</v>
          </cell>
          <cell r="BG81">
            <v>0</v>
          </cell>
          <cell r="BH81">
            <v>0</v>
          </cell>
          <cell r="BI81">
            <v>6</v>
          </cell>
        </row>
        <row r="82">
          <cell r="C82" t="str">
            <v>Đinh Thủy Bích</v>
          </cell>
          <cell r="D82">
            <v>1074</v>
          </cell>
          <cell r="E82" t="str">
            <v>BTCĐ</v>
          </cell>
          <cell r="G82">
            <v>1</v>
          </cell>
          <cell r="I82">
            <v>1</v>
          </cell>
          <cell r="N82">
            <v>1</v>
          </cell>
          <cell r="P82">
            <v>1</v>
          </cell>
          <cell r="U82">
            <v>1</v>
          </cell>
          <cell r="W82">
            <v>1</v>
          </cell>
          <cell r="AB82">
            <v>1</v>
          </cell>
          <cell r="AD82">
            <v>1</v>
          </cell>
          <cell r="AI82">
            <v>1</v>
          </cell>
          <cell r="AK82">
            <v>1</v>
          </cell>
          <cell r="AP82">
            <v>1</v>
          </cell>
          <cell r="AV82">
            <v>1</v>
          </cell>
          <cell r="AW82">
            <v>1</v>
          </cell>
          <cell r="AY82">
            <v>1</v>
          </cell>
          <cell r="BB82">
            <v>1</v>
          </cell>
          <cell r="BC82">
            <v>1</v>
          </cell>
          <cell r="BD82">
            <v>6</v>
          </cell>
          <cell r="BE82">
            <v>0</v>
          </cell>
          <cell r="BF82">
            <v>5</v>
          </cell>
          <cell r="BG82">
            <v>0</v>
          </cell>
          <cell r="BH82">
            <v>0</v>
          </cell>
          <cell r="BI82">
            <v>1</v>
          </cell>
        </row>
        <row r="83">
          <cell r="C83" t="str">
            <v>Nguyễn Hiền Anh</v>
          </cell>
          <cell r="D83">
            <v>1075</v>
          </cell>
          <cell r="G83">
            <v>1</v>
          </cell>
          <cell r="H83">
            <v>1</v>
          </cell>
          <cell r="L83">
            <v>1</v>
          </cell>
          <cell r="N83">
            <v>1</v>
          </cell>
          <cell r="O83">
            <v>1</v>
          </cell>
          <cell r="S83">
            <v>1</v>
          </cell>
          <cell r="U83">
            <v>1</v>
          </cell>
          <cell r="V83">
            <v>1</v>
          </cell>
          <cell r="Z83">
            <v>1</v>
          </cell>
          <cell r="AB83">
            <v>1</v>
          </cell>
          <cell r="AC83">
            <v>1</v>
          </cell>
          <cell r="AG83">
            <v>1</v>
          </cell>
          <cell r="AI83">
            <v>1</v>
          </cell>
          <cell r="AK83">
            <v>1</v>
          </cell>
          <cell r="AP83">
            <v>1</v>
          </cell>
          <cell r="AW83">
            <v>1</v>
          </cell>
          <cell r="AY83">
            <v>1</v>
          </cell>
          <cell r="BC83">
            <v>0</v>
          </cell>
          <cell r="BD83">
            <v>6</v>
          </cell>
          <cell r="BE83">
            <v>3</v>
          </cell>
          <cell r="BF83">
            <v>2</v>
          </cell>
          <cell r="BG83">
            <v>0</v>
          </cell>
          <cell r="BH83">
            <v>0</v>
          </cell>
          <cell r="BI83">
            <v>3</v>
          </cell>
        </row>
        <row r="84">
          <cell r="C84" t="str">
            <v>Vũ Phương Anh</v>
          </cell>
          <cell r="D84">
            <v>1076</v>
          </cell>
          <cell r="G84">
            <v>1</v>
          </cell>
          <cell r="I84">
            <v>1</v>
          </cell>
          <cell r="N84">
            <v>1</v>
          </cell>
          <cell r="O84">
            <v>1</v>
          </cell>
          <cell r="S84">
            <v>1</v>
          </cell>
          <cell r="U84">
            <v>1</v>
          </cell>
          <cell r="V84">
            <v>1</v>
          </cell>
          <cell r="Z84">
            <v>1</v>
          </cell>
          <cell r="AB84">
            <v>1</v>
          </cell>
          <cell r="AC84">
            <v>1</v>
          </cell>
          <cell r="AG84">
            <v>1</v>
          </cell>
          <cell r="AI84">
            <v>1</v>
          </cell>
          <cell r="AJ84">
            <v>1</v>
          </cell>
          <cell r="AN84">
            <v>1</v>
          </cell>
          <cell r="AP84">
            <v>1</v>
          </cell>
          <cell r="AQ84">
            <v>1</v>
          </cell>
          <cell r="AU84">
            <v>1</v>
          </cell>
          <cell r="AW84">
            <v>1</v>
          </cell>
          <cell r="AX84">
            <v>1</v>
          </cell>
          <cell r="BB84">
            <v>1</v>
          </cell>
          <cell r="BC84">
            <v>0</v>
          </cell>
          <cell r="BD84">
            <v>6</v>
          </cell>
          <cell r="BE84">
            <v>6</v>
          </cell>
          <cell r="BF84">
            <v>0</v>
          </cell>
          <cell r="BG84">
            <v>0</v>
          </cell>
          <cell r="BH84">
            <v>0</v>
          </cell>
          <cell r="BI84">
            <v>6</v>
          </cell>
        </row>
        <row r="85">
          <cell r="C85" t="str">
            <v>Đặng Phương Linh</v>
          </cell>
          <cell r="D85">
            <v>1077</v>
          </cell>
          <cell r="G85">
            <v>1</v>
          </cell>
          <cell r="I85">
            <v>1</v>
          </cell>
          <cell r="N85">
            <v>1</v>
          </cell>
          <cell r="O85">
            <v>1</v>
          </cell>
          <cell r="S85">
            <v>1</v>
          </cell>
          <cell r="U85">
            <v>1</v>
          </cell>
          <cell r="V85">
            <v>1</v>
          </cell>
          <cell r="Z85">
            <v>1</v>
          </cell>
          <cell r="AB85">
            <v>1</v>
          </cell>
          <cell r="AD85">
            <v>1</v>
          </cell>
          <cell r="AI85">
            <v>1</v>
          </cell>
          <cell r="AJ85">
            <v>1</v>
          </cell>
          <cell r="AN85">
            <v>1</v>
          </cell>
          <cell r="AP85">
            <v>1</v>
          </cell>
          <cell r="AQ85">
            <v>1</v>
          </cell>
          <cell r="AU85">
            <v>1</v>
          </cell>
          <cell r="AV85">
            <v>1</v>
          </cell>
          <cell r="AW85">
            <v>1</v>
          </cell>
          <cell r="AY85">
            <v>1</v>
          </cell>
          <cell r="BB85">
            <v>1</v>
          </cell>
          <cell r="BC85">
            <v>1</v>
          </cell>
          <cell r="BD85">
            <v>6</v>
          </cell>
          <cell r="BE85">
            <v>4</v>
          </cell>
          <cell r="BF85">
            <v>2</v>
          </cell>
          <cell r="BG85">
            <v>0</v>
          </cell>
          <cell r="BH85">
            <v>0</v>
          </cell>
          <cell r="BI85">
            <v>5</v>
          </cell>
        </row>
        <row r="86">
          <cell r="C86" t="str">
            <v>Vũ Thị Hiền</v>
          </cell>
          <cell r="D86">
            <v>1078</v>
          </cell>
          <cell r="AI86">
            <v>1</v>
          </cell>
          <cell r="AJ86">
            <v>1</v>
          </cell>
          <cell r="AN86">
            <v>1</v>
          </cell>
          <cell r="AP86">
            <v>1</v>
          </cell>
          <cell r="AW86">
            <v>1</v>
          </cell>
          <cell r="AY86">
            <v>1</v>
          </cell>
          <cell r="BB86">
            <v>1</v>
          </cell>
          <cell r="BC86">
            <v>0</v>
          </cell>
          <cell r="BD86">
            <v>3</v>
          </cell>
          <cell r="BE86">
            <v>1</v>
          </cell>
          <cell r="BF86">
            <v>1</v>
          </cell>
          <cell r="BG86">
            <v>0</v>
          </cell>
          <cell r="BH86">
            <v>0</v>
          </cell>
          <cell r="BI86">
            <v>2</v>
          </cell>
        </row>
        <row r="87">
          <cell r="C87" t="str">
            <v>Lương Phương Hoa</v>
          </cell>
          <cell r="D87">
            <v>1079</v>
          </cell>
          <cell r="AW87">
            <v>1</v>
          </cell>
          <cell r="AY87">
            <v>1</v>
          </cell>
          <cell r="BC87">
            <v>0</v>
          </cell>
          <cell r="BD87">
            <v>1</v>
          </cell>
          <cell r="BE87">
            <v>0</v>
          </cell>
          <cell r="BF87">
            <v>1</v>
          </cell>
          <cell r="BG87">
            <v>0</v>
          </cell>
          <cell r="BH87">
            <v>0</v>
          </cell>
          <cell r="BI87">
            <v>0</v>
          </cell>
        </row>
        <row r="88">
          <cell r="C88" t="str">
            <v>Doãn Thị Thúy Vân</v>
          </cell>
          <cell r="D88">
            <v>1080</v>
          </cell>
          <cell r="G88">
            <v>1</v>
          </cell>
          <cell r="I88">
            <v>1</v>
          </cell>
          <cell r="N88">
            <v>1</v>
          </cell>
          <cell r="O88">
            <v>1</v>
          </cell>
          <cell r="S88">
            <v>1</v>
          </cell>
          <cell r="U88">
            <v>1</v>
          </cell>
          <cell r="W88">
            <v>1</v>
          </cell>
          <cell r="AB88">
            <v>1</v>
          </cell>
          <cell r="AC88">
            <v>1</v>
          </cell>
          <cell r="AG88">
            <v>1</v>
          </cell>
          <cell r="AI88">
            <v>1</v>
          </cell>
          <cell r="AJ88">
            <v>1</v>
          </cell>
          <cell r="AN88">
            <v>1</v>
          </cell>
          <cell r="AP88">
            <v>1</v>
          </cell>
          <cell r="AQ88">
            <v>1</v>
          </cell>
          <cell r="AU88">
            <v>1</v>
          </cell>
          <cell r="AW88">
            <v>1</v>
          </cell>
          <cell r="AY88">
            <v>1</v>
          </cell>
          <cell r="BC88">
            <v>0</v>
          </cell>
          <cell r="BD88">
            <v>6</v>
          </cell>
          <cell r="BE88">
            <v>4</v>
          </cell>
          <cell r="BF88">
            <v>2</v>
          </cell>
          <cell r="BG88">
            <v>0</v>
          </cell>
          <cell r="BH88">
            <v>0</v>
          </cell>
          <cell r="BI88">
            <v>4</v>
          </cell>
        </row>
        <row r="89">
          <cell r="C89" t="str">
            <v>Nguyễn Thị Thanh Nhàn</v>
          </cell>
          <cell r="D89">
            <v>1081</v>
          </cell>
          <cell r="E89" t="str">
            <v>Phó trưởng khoa</v>
          </cell>
          <cell r="G89">
            <v>1</v>
          </cell>
          <cell r="H89">
            <v>1</v>
          </cell>
          <cell r="L89">
            <v>1</v>
          </cell>
          <cell r="N89">
            <v>1</v>
          </cell>
          <cell r="O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N89">
            <v>1</v>
          </cell>
          <cell r="AP89">
            <v>1</v>
          </cell>
          <cell r="AQ89">
            <v>1</v>
          </cell>
          <cell r="AU89">
            <v>1</v>
          </cell>
          <cell r="AV89">
            <v>1</v>
          </cell>
          <cell r="AW89">
            <v>1</v>
          </cell>
          <cell r="AY89">
            <v>1</v>
          </cell>
          <cell r="BB89">
            <v>1</v>
          </cell>
          <cell r="BC89">
            <v>4</v>
          </cell>
          <cell r="BD89">
            <v>6</v>
          </cell>
          <cell r="BE89">
            <v>5</v>
          </cell>
          <cell r="BF89">
            <v>1</v>
          </cell>
          <cell r="BG89">
            <v>0</v>
          </cell>
          <cell r="BH89">
            <v>0</v>
          </cell>
          <cell r="BI89">
            <v>6</v>
          </cell>
        </row>
        <row r="90">
          <cell r="C90" t="str">
            <v>Nguyễn Hoàng Giang</v>
          </cell>
          <cell r="D90">
            <v>1082</v>
          </cell>
          <cell r="E90" t="str">
            <v>Trưởng BM, CUV, CTCĐ</v>
          </cell>
          <cell r="G90">
            <v>1</v>
          </cell>
          <cell r="H90">
            <v>1</v>
          </cell>
          <cell r="L90">
            <v>1</v>
          </cell>
          <cell r="N90">
            <v>1</v>
          </cell>
          <cell r="O90">
            <v>1</v>
          </cell>
          <cell r="S90">
            <v>1</v>
          </cell>
          <cell r="T90">
            <v>1</v>
          </cell>
          <cell r="U90">
            <v>1</v>
          </cell>
          <cell r="V90">
            <v>1</v>
          </cell>
          <cell r="Z90">
            <v>1</v>
          </cell>
          <cell r="AB90">
            <v>1</v>
          </cell>
          <cell r="AC90">
            <v>1</v>
          </cell>
          <cell r="AG90">
            <v>1</v>
          </cell>
          <cell r="AI90">
            <v>1</v>
          </cell>
          <cell r="AJ90">
            <v>1</v>
          </cell>
          <cell r="AN90">
            <v>1</v>
          </cell>
          <cell r="AP90">
            <v>1</v>
          </cell>
          <cell r="AW90">
            <v>1</v>
          </cell>
          <cell r="AY90">
            <v>1</v>
          </cell>
          <cell r="BC90">
            <v>1</v>
          </cell>
          <cell r="BD90">
            <v>5</v>
          </cell>
          <cell r="BE90">
            <v>3</v>
          </cell>
          <cell r="BF90">
            <v>1</v>
          </cell>
          <cell r="BG90">
            <v>0</v>
          </cell>
          <cell r="BH90">
            <v>0</v>
          </cell>
          <cell r="BI90">
            <v>3</v>
          </cell>
        </row>
        <row r="91">
          <cell r="C91" t="str">
            <v>Nguyễn Bảo Ngọc</v>
          </cell>
          <cell r="D91">
            <v>1083</v>
          </cell>
          <cell r="E91" t="str">
            <v>Phó Trưởng BM</v>
          </cell>
          <cell r="G91">
            <v>1</v>
          </cell>
          <cell r="H91">
            <v>1</v>
          </cell>
          <cell r="L91">
            <v>1</v>
          </cell>
          <cell r="N91">
            <v>1</v>
          </cell>
          <cell r="O91">
            <v>1</v>
          </cell>
          <cell r="S91">
            <v>1</v>
          </cell>
          <cell r="U91">
            <v>1</v>
          </cell>
          <cell r="V91">
            <v>1</v>
          </cell>
          <cell r="Z91">
            <v>1</v>
          </cell>
          <cell r="AB91">
            <v>1</v>
          </cell>
          <cell r="AC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N91">
            <v>1</v>
          </cell>
          <cell r="AO91">
            <v>1</v>
          </cell>
          <cell r="AP91">
            <v>1</v>
          </cell>
          <cell r="AQ91">
            <v>1</v>
          </cell>
          <cell r="AU91">
            <v>1</v>
          </cell>
          <cell r="AW91">
            <v>1</v>
          </cell>
          <cell r="AX91">
            <v>1</v>
          </cell>
          <cell r="BC91">
            <v>2</v>
          </cell>
          <cell r="BD91">
            <v>6</v>
          </cell>
          <cell r="BE91">
            <v>6</v>
          </cell>
          <cell r="BF91">
            <v>0</v>
          </cell>
          <cell r="BG91">
            <v>0</v>
          </cell>
          <cell r="BH91">
            <v>0</v>
          </cell>
          <cell r="BI91">
            <v>5</v>
          </cell>
        </row>
        <row r="92">
          <cell r="C92" t="str">
            <v>Phùng Thị Thuỷ</v>
          </cell>
          <cell r="D92">
            <v>1084</v>
          </cell>
          <cell r="G92">
            <v>1</v>
          </cell>
          <cell r="H92">
            <v>1</v>
          </cell>
          <cell r="L92">
            <v>1</v>
          </cell>
          <cell r="N92">
            <v>1</v>
          </cell>
          <cell r="O92">
            <v>1</v>
          </cell>
          <cell r="S92">
            <v>1</v>
          </cell>
          <cell r="U92">
            <v>1</v>
          </cell>
          <cell r="V92">
            <v>1</v>
          </cell>
          <cell r="Z92">
            <v>1</v>
          </cell>
          <cell r="AB92">
            <v>1</v>
          </cell>
          <cell r="AC92">
            <v>1</v>
          </cell>
          <cell r="AG92">
            <v>1</v>
          </cell>
          <cell r="AI92">
            <v>1</v>
          </cell>
          <cell r="AJ92">
            <v>1</v>
          </cell>
          <cell r="AN92">
            <v>1</v>
          </cell>
          <cell r="AP92">
            <v>1</v>
          </cell>
          <cell r="AW92">
            <v>1</v>
          </cell>
          <cell r="AY92">
            <v>1</v>
          </cell>
          <cell r="BC92">
            <v>0</v>
          </cell>
          <cell r="BD92">
            <v>6</v>
          </cell>
          <cell r="BE92">
            <v>4</v>
          </cell>
          <cell r="BF92">
            <v>1</v>
          </cell>
          <cell r="BG92">
            <v>0</v>
          </cell>
          <cell r="BH92">
            <v>0</v>
          </cell>
          <cell r="BI92">
            <v>4</v>
          </cell>
        </row>
        <row r="93">
          <cell r="C93" t="str">
            <v>Bùi Lan Phương</v>
          </cell>
          <cell r="D93">
            <v>1086</v>
          </cell>
          <cell r="G93">
            <v>1</v>
          </cell>
          <cell r="H93">
            <v>1</v>
          </cell>
          <cell r="L93">
            <v>1</v>
          </cell>
          <cell r="N93">
            <v>1</v>
          </cell>
          <cell r="O93">
            <v>1</v>
          </cell>
          <cell r="S93">
            <v>1</v>
          </cell>
          <cell r="U93">
            <v>1</v>
          </cell>
          <cell r="V93">
            <v>1</v>
          </cell>
          <cell r="Z93">
            <v>1</v>
          </cell>
          <cell r="AB93">
            <v>1</v>
          </cell>
          <cell r="AC93">
            <v>1</v>
          </cell>
          <cell r="AG93">
            <v>1</v>
          </cell>
          <cell r="AI93">
            <v>1</v>
          </cell>
          <cell r="AJ93">
            <v>1</v>
          </cell>
          <cell r="AN93">
            <v>1</v>
          </cell>
          <cell r="AP93">
            <v>1</v>
          </cell>
          <cell r="AQ93">
            <v>1</v>
          </cell>
          <cell r="AU93">
            <v>1</v>
          </cell>
          <cell r="AW93">
            <v>1</v>
          </cell>
          <cell r="AY93">
            <v>1</v>
          </cell>
          <cell r="BC93">
            <v>0</v>
          </cell>
          <cell r="BD93">
            <v>6</v>
          </cell>
          <cell r="BE93">
            <v>5</v>
          </cell>
          <cell r="BF93">
            <v>1</v>
          </cell>
          <cell r="BG93">
            <v>0</v>
          </cell>
          <cell r="BH93">
            <v>0</v>
          </cell>
          <cell r="BI93">
            <v>5</v>
          </cell>
        </row>
        <row r="94">
          <cell r="C94" t="str">
            <v>Đặng Thị Hồng Vân</v>
          </cell>
          <cell r="D94">
            <v>1087</v>
          </cell>
          <cell r="G94">
            <v>1</v>
          </cell>
          <cell r="H94">
            <v>1</v>
          </cell>
          <cell r="L94">
            <v>1</v>
          </cell>
          <cell r="N94">
            <v>1</v>
          </cell>
          <cell r="O94">
            <v>1</v>
          </cell>
          <cell r="S94">
            <v>1</v>
          </cell>
          <cell r="U94">
            <v>1</v>
          </cell>
          <cell r="V94">
            <v>1</v>
          </cell>
          <cell r="Z94">
            <v>1</v>
          </cell>
          <cell r="AB94">
            <v>1</v>
          </cell>
          <cell r="AC94">
            <v>1</v>
          </cell>
          <cell r="AG94">
            <v>1</v>
          </cell>
          <cell r="AI94">
            <v>1</v>
          </cell>
          <cell r="AJ94">
            <v>1</v>
          </cell>
          <cell r="AN94">
            <v>1</v>
          </cell>
          <cell r="AP94">
            <v>1</v>
          </cell>
          <cell r="AW94">
            <v>1</v>
          </cell>
          <cell r="AY94">
            <v>1</v>
          </cell>
          <cell r="BC94">
            <v>0</v>
          </cell>
          <cell r="BD94">
            <v>6</v>
          </cell>
          <cell r="BE94">
            <v>4</v>
          </cell>
          <cell r="BF94">
            <v>1</v>
          </cell>
          <cell r="BG94">
            <v>0</v>
          </cell>
          <cell r="BH94">
            <v>0</v>
          </cell>
          <cell r="BI94">
            <v>4</v>
          </cell>
        </row>
        <row r="95">
          <cell r="C95" t="str">
            <v>Ngạc Thị Phương Mai</v>
          </cell>
          <cell r="D95">
            <v>1088</v>
          </cell>
          <cell r="G95">
            <v>1</v>
          </cell>
          <cell r="I95">
            <v>1</v>
          </cell>
          <cell r="N95">
            <v>1</v>
          </cell>
          <cell r="O95">
            <v>1</v>
          </cell>
          <cell r="S95">
            <v>1</v>
          </cell>
          <cell r="U95">
            <v>1</v>
          </cell>
          <cell r="V95">
            <v>1</v>
          </cell>
          <cell r="Z95">
            <v>1</v>
          </cell>
          <cell r="AB95">
            <v>1</v>
          </cell>
          <cell r="AC95">
            <v>1</v>
          </cell>
          <cell r="AG95">
            <v>1</v>
          </cell>
          <cell r="AH95">
            <v>1</v>
          </cell>
          <cell r="AI95">
            <v>1</v>
          </cell>
          <cell r="AJ95">
            <v>1</v>
          </cell>
          <cell r="AN95">
            <v>1</v>
          </cell>
          <cell r="AP95">
            <v>1</v>
          </cell>
          <cell r="AQ95">
            <v>1</v>
          </cell>
          <cell r="AU95">
            <v>1</v>
          </cell>
          <cell r="AV95">
            <v>1</v>
          </cell>
          <cell r="AW95">
            <v>1</v>
          </cell>
          <cell r="AX95">
            <v>1</v>
          </cell>
          <cell r="BB95">
            <v>1</v>
          </cell>
          <cell r="BC95">
            <v>2</v>
          </cell>
          <cell r="BD95">
            <v>6</v>
          </cell>
          <cell r="BE95">
            <v>6</v>
          </cell>
          <cell r="BF95">
            <v>0</v>
          </cell>
          <cell r="BG95">
            <v>0</v>
          </cell>
          <cell r="BH95">
            <v>0</v>
          </cell>
          <cell r="BI95">
            <v>6</v>
          </cell>
        </row>
        <row r="96">
          <cell r="C96" t="str">
            <v>Nguyễn Thị Kim Oanh</v>
          </cell>
          <cell r="D96">
            <v>1089</v>
          </cell>
          <cell r="G96">
            <v>1</v>
          </cell>
          <cell r="H96">
            <v>1</v>
          </cell>
          <cell r="L96">
            <v>1</v>
          </cell>
          <cell r="N96">
            <v>1</v>
          </cell>
          <cell r="O96">
            <v>1</v>
          </cell>
          <cell r="S96">
            <v>1</v>
          </cell>
          <cell r="U96">
            <v>1</v>
          </cell>
          <cell r="V96">
            <v>1</v>
          </cell>
          <cell r="Z96">
            <v>1</v>
          </cell>
          <cell r="AB96">
            <v>1</v>
          </cell>
          <cell r="AC96">
            <v>1</v>
          </cell>
          <cell r="AG96">
            <v>1</v>
          </cell>
          <cell r="AI96">
            <v>1</v>
          </cell>
          <cell r="AJ96">
            <v>1</v>
          </cell>
          <cell r="AN96">
            <v>1</v>
          </cell>
          <cell r="AP96">
            <v>1</v>
          </cell>
          <cell r="AW96">
            <v>1</v>
          </cell>
          <cell r="AY96">
            <v>1</v>
          </cell>
          <cell r="BB96">
            <v>1</v>
          </cell>
          <cell r="BC96">
            <v>0</v>
          </cell>
          <cell r="BD96">
            <v>6</v>
          </cell>
          <cell r="BE96">
            <v>4</v>
          </cell>
          <cell r="BF96">
            <v>1</v>
          </cell>
          <cell r="BG96">
            <v>0</v>
          </cell>
          <cell r="BH96">
            <v>0</v>
          </cell>
          <cell r="BI96">
            <v>5</v>
          </cell>
        </row>
        <row r="97">
          <cell r="C97" t="str">
            <v>Bùi Phương Linh</v>
          </cell>
          <cell r="D97">
            <v>1090</v>
          </cell>
          <cell r="G97">
            <v>1</v>
          </cell>
          <cell r="H97">
            <v>1</v>
          </cell>
          <cell r="L97">
            <v>1</v>
          </cell>
          <cell r="N97">
            <v>1</v>
          </cell>
          <cell r="O97">
            <v>1</v>
          </cell>
          <cell r="S97">
            <v>1</v>
          </cell>
          <cell r="U97">
            <v>1</v>
          </cell>
          <cell r="V97">
            <v>1</v>
          </cell>
          <cell r="Z97">
            <v>1</v>
          </cell>
          <cell r="AB97">
            <v>1</v>
          </cell>
          <cell r="AC97">
            <v>1</v>
          </cell>
          <cell r="AG97">
            <v>1</v>
          </cell>
          <cell r="AI97">
            <v>1</v>
          </cell>
          <cell r="AJ97">
            <v>1</v>
          </cell>
          <cell r="AN97">
            <v>1</v>
          </cell>
          <cell r="AP97">
            <v>1</v>
          </cell>
          <cell r="AQ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BB97">
            <v>1</v>
          </cell>
          <cell r="BC97">
            <v>1</v>
          </cell>
          <cell r="BD97">
            <v>6</v>
          </cell>
          <cell r="BE97">
            <v>6</v>
          </cell>
          <cell r="BF97">
            <v>0</v>
          </cell>
          <cell r="BG97">
            <v>0</v>
          </cell>
          <cell r="BH97">
            <v>0</v>
          </cell>
          <cell r="BI97">
            <v>6</v>
          </cell>
        </row>
        <row r="98">
          <cell r="C98" t="str">
            <v>Tăng Duy Quang</v>
          </cell>
          <cell r="D98">
            <v>1091</v>
          </cell>
          <cell r="AI98">
            <v>1</v>
          </cell>
          <cell r="AK98">
            <v>1</v>
          </cell>
          <cell r="AP98">
            <v>1</v>
          </cell>
          <cell r="AW98">
            <v>1</v>
          </cell>
          <cell r="AY98">
            <v>1</v>
          </cell>
          <cell r="BC98">
            <v>0</v>
          </cell>
          <cell r="BD98">
            <v>3</v>
          </cell>
          <cell r="BE98">
            <v>0</v>
          </cell>
          <cell r="BF98">
            <v>2</v>
          </cell>
          <cell r="BG98">
            <v>0</v>
          </cell>
          <cell r="BH98">
            <v>0</v>
          </cell>
          <cell r="BI98">
            <v>0</v>
          </cell>
        </row>
        <row r="99">
          <cell r="C99" t="str">
            <v>Nguyễn Thị Thùy Dương</v>
          </cell>
          <cell r="D99">
            <v>1092</v>
          </cell>
          <cell r="AP99">
            <v>1</v>
          </cell>
          <cell r="AW99">
            <v>1</v>
          </cell>
          <cell r="AY99">
            <v>1</v>
          </cell>
          <cell r="BC99">
            <v>0</v>
          </cell>
          <cell r="BD99">
            <v>2</v>
          </cell>
          <cell r="BE99">
            <v>0</v>
          </cell>
          <cell r="BF99">
            <v>1</v>
          </cell>
          <cell r="BG99">
            <v>0</v>
          </cell>
          <cell r="BH99">
            <v>0</v>
          </cell>
          <cell r="BI99">
            <v>0</v>
          </cell>
        </row>
        <row r="100">
          <cell r="C100" t="str">
            <v>Lê Nhữ Diệu Hương</v>
          </cell>
          <cell r="D100">
            <v>1093</v>
          </cell>
          <cell r="AP100">
            <v>1</v>
          </cell>
          <cell r="AW100">
            <v>1</v>
          </cell>
          <cell r="AY100">
            <v>1</v>
          </cell>
          <cell r="BC100">
            <v>0</v>
          </cell>
          <cell r="BD100">
            <v>2</v>
          </cell>
          <cell r="BE100">
            <v>0</v>
          </cell>
          <cell r="BF100">
            <v>1</v>
          </cell>
          <cell r="BG100">
            <v>0</v>
          </cell>
          <cell r="BH100">
            <v>0</v>
          </cell>
          <cell r="BI100">
            <v>0</v>
          </cell>
        </row>
        <row r="101">
          <cell r="C101" t="str">
            <v>Nguyễn Phương Liên</v>
          </cell>
          <cell r="D101">
            <v>1758</v>
          </cell>
          <cell r="AW101">
            <v>1</v>
          </cell>
          <cell r="AY101">
            <v>1</v>
          </cell>
          <cell r="BC101">
            <v>0</v>
          </cell>
          <cell r="BD101">
            <v>1</v>
          </cell>
          <cell r="BE101">
            <v>0</v>
          </cell>
          <cell r="BF101">
            <v>1</v>
          </cell>
          <cell r="BG101">
            <v>0</v>
          </cell>
          <cell r="BH101">
            <v>0</v>
          </cell>
          <cell r="BI101">
            <v>0</v>
          </cell>
        </row>
        <row r="102">
          <cell r="C102" t="str">
            <v>Đặng Thu Hương</v>
          </cell>
          <cell r="D102">
            <v>1104</v>
          </cell>
          <cell r="E102" t="str">
            <v>Trưởng bộ môn</v>
          </cell>
          <cell r="G102">
            <v>1</v>
          </cell>
          <cell r="H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G102">
            <v>1</v>
          </cell>
          <cell r="AI102">
            <v>1</v>
          </cell>
          <cell r="AJ102">
            <v>1</v>
          </cell>
          <cell r="AN102">
            <v>1</v>
          </cell>
          <cell r="AW102">
            <v>1</v>
          </cell>
          <cell r="AY102">
            <v>1</v>
          </cell>
          <cell r="BC102">
            <v>3</v>
          </cell>
          <cell r="BD102">
            <v>5</v>
          </cell>
          <cell r="BE102">
            <v>4</v>
          </cell>
          <cell r="BF102">
            <v>1</v>
          </cell>
          <cell r="BG102">
            <v>0</v>
          </cell>
          <cell r="BH102">
            <v>0</v>
          </cell>
          <cell r="BI102">
            <v>4</v>
          </cell>
        </row>
        <row r="103">
          <cell r="C103" t="str">
            <v>Nguyễn Thị  Khánh Quỳnh</v>
          </cell>
          <cell r="G103">
            <v>1</v>
          </cell>
          <cell r="H103">
            <v>1</v>
          </cell>
          <cell r="L103">
            <v>1</v>
          </cell>
          <cell r="N103">
            <v>1</v>
          </cell>
          <cell r="P103">
            <v>1</v>
          </cell>
          <cell r="U103">
            <v>1</v>
          </cell>
          <cell r="W103">
            <v>1</v>
          </cell>
          <cell r="AE103">
            <v>1</v>
          </cell>
          <cell r="AI103">
            <v>1</v>
          </cell>
          <cell r="AJ103">
            <v>1</v>
          </cell>
          <cell r="AN103">
            <v>1</v>
          </cell>
          <cell r="AT103">
            <v>1</v>
          </cell>
          <cell r="BC103">
            <v>0</v>
          </cell>
          <cell r="BD103">
            <v>3</v>
          </cell>
          <cell r="BE103">
            <v>1</v>
          </cell>
          <cell r="BF103">
            <v>2</v>
          </cell>
          <cell r="BG103">
            <v>1</v>
          </cell>
          <cell r="BH103">
            <v>1</v>
          </cell>
          <cell r="BI103">
            <v>1</v>
          </cell>
        </row>
        <row r="104">
          <cell r="C104" t="str">
            <v>Trần Phương Mai</v>
          </cell>
          <cell r="D104">
            <v>1106</v>
          </cell>
          <cell r="G104">
            <v>1</v>
          </cell>
          <cell r="I104">
            <v>1</v>
          </cell>
          <cell r="N104">
            <v>1</v>
          </cell>
          <cell r="O104">
            <v>1</v>
          </cell>
          <cell r="S104">
            <v>1</v>
          </cell>
          <cell r="U104">
            <v>1</v>
          </cell>
          <cell r="W104">
            <v>1</v>
          </cell>
          <cell r="AB104">
            <v>1</v>
          </cell>
          <cell r="AD104">
            <v>1</v>
          </cell>
          <cell r="AI104">
            <v>1</v>
          </cell>
          <cell r="AK104">
            <v>1</v>
          </cell>
          <cell r="AP104">
            <v>1</v>
          </cell>
          <cell r="AW104">
            <v>1</v>
          </cell>
          <cell r="AY104">
            <v>1</v>
          </cell>
          <cell r="BC104">
            <v>0</v>
          </cell>
          <cell r="BD104">
            <v>6</v>
          </cell>
          <cell r="BE104">
            <v>1</v>
          </cell>
          <cell r="BF104">
            <v>4</v>
          </cell>
          <cell r="BG104">
            <v>0</v>
          </cell>
          <cell r="BH104">
            <v>0</v>
          </cell>
          <cell r="BI104">
            <v>1</v>
          </cell>
        </row>
        <row r="105">
          <cell r="C105" t="str">
            <v>Trần Hải Yến</v>
          </cell>
          <cell r="D105">
            <v>1107</v>
          </cell>
          <cell r="AB105">
            <v>1</v>
          </cell>
          <cell r="AD105">
            <v>1</v>
          </cell>
          <cell r="AI105">
            <v>1</v>
          </cell>
          <cell r="AJ105">
            <v>1</v>
          </cell>
          <cell r="AN105">
            <v>1</v>
          </cell>
          <cell r="AP105">
            <v>1</v>
          </cell>
          <cell r="AW105">
            <v>1</v>
          </cell>
          <cell r="AY105">
            <v>1</v>
          </cell>
          <cell r="BC105">
            <v>0</v>
          </cell>
          <cell r="BD105">
            <v>4</v>
          </cell>
          <cell r="BE105">
            <v>1</v>
          </cell>
          <cell r="BF105">
            <v>2</v>
          </cell>
          <cell r="BG105">
            <v>0</v>
          </cell>
          <cell r="BH105">
            <v>0</v>
          </cell>
          <cell r="BI105">
            <v>1</v>
          </cell>
        </row>
        <row r="106">
          <cell r="C106" t="str">
            <v>Đào Ngọc Linh</v>
          </cell>
          <cell r="D106">
            <v>1108</v>
          </cell>
          <cell r="AD106">
            <v>1</v>
          </cell>
          <cell r="AI106">
            <v>1</v>
          </cell>
          <cell r="AJ106">
            <v>1</v>
          </cell>
          <cell r="AN106">
            <v>1</v>
          </cell>
          <cell r="AO106">
            <v>1</v>
          </cell>
          <cell r="AP106">
            <v>1</v>
          </cell>
          <cell r="AQ106">
            <v>1</v>
          </cell>
          <cell r="AU106">
            <v>1</v>
          </cell>
          <cell r="AW106">
            <v>1</v>
          </cell>
          <cell r="AX106">
            <v>1</v>
          </cell>
          <cell r="BB106">
            <v>1</v>
          </cell>
          <cell r="BC106">
            <v>1</v>
          </cell>
          <cell r="BD106">
            <v>3</v>
          </cell>
          <cell r="BE106">
            <v>3</v>
          </cell>
          <cell r="BF106">
            <v>1</v>
          </cell>
          <cell r="BG106">
            <v>0</v>
          </cell>
          <cell r="BH106">
            <v>0</v>
          </cell>
          <cell r="BI106">
            <v>3</v>
          </cell>
        </row>
        <row r="107">
          <cell r="C107" t="str">
            <v>Nguyễn Thu Hương</v>
          </cell>
          <cell r="D107">
            <v>1110</v>
          </cell>
          <cell r="E107" t="str">
            <v>Trưởng bộ môn</v>
          </cell>
          <cell r="G107">
            <v>1</v>
          </cell>
          <cell r="H107">
            <v>1</v>
          </cell>
          <cell r="L107">
            <v>1</v>
          </cell>
          <cell r="N107">
            <v>1</v>
          </cell>
          <cell r="O107">
            <v>1</v>
          </cell>
          <cell r="S107">
            <v>1</v>
          </cell>
          <cell r="U107">
            <v>1</v>
          </cell>
          <cell r="V107">
            <v>1</v>
          </cell>
          <cell r="Z107">
            <v>1</v>
          </cell>
          <cell r="AB107">
            <v>1</v>
          </cell>
          <cell r="AC107">
            <v>1</v>
          </cell>
          <cell r="AG107">
            <v>1</v>
          </cell>
          <cell r="AI107">
            <v>1</v>
          </cell>
          <cell r="AJ107">
            <v>1</v>
          </cell>
          <cell r="AN107">
            <v>1</v>
          </cell>
          <cell r="AO107">
            <v>1</v>
          </cell>
          <cell r="AP107">
            <v>1</v>
          </cell>
          <cell r="AQ107">
            <v>1</v>
          </cell>
          <cell r="AU107">
            <v>1</v>
          </cell>
          <cell r="AV107">
            <v>1</v>
          </cell>
          <cell r="AW107">
            <v>1</v>
          </cell>
          <cell r="AY107">
            <v>1</v>
          </cell>
          <cell r="BC107">
            <v>2</v>
          </cell>
          <cell r="BD107">
            <v>6</v>
          </cell>
          <cell r="BE107">
            <v>5</v>
          </cell>
          <cell r="BF107">
            <v>1</v>
          </cell>
          <cell r="BG107">
            <v>0</v>
          </cell>
          <cell r="BH107">
            <v>0</v>
          </cell>
          <cell r="BI107">
            <v>5</v>
          </cell>
        </row>
        <row r="108">
          <cell r="C108" t="str">
            <v>Nguyễn Quốc Thịnh</v>
          </cell>
          <cell r="D108">
            <v>1111</v>
          </cell>
          <cell r="F108">
            <v>1</v>
          </cell>
          <cell r="G108">
            <v>1</v>
          </cell>
          <cell r="H108">
            <v>1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S108">
            <v>1</v>
          </cell>
          <cell r="T108">
            <v>1</v>
          </cell>
          <cell r="U108">
            <v>1</v>
          </cell>
          <cell r="V108">
            <v>1</v>
          </cell>
          <cell r="Z108">
            <v>1</v>
          </cell>
          <cell r="AB108">
            <v>1</v>
          </cell>
          <cell r="AC108">
            <v>1</v>
          </cell>
          <cell r="AG108">
            <v>1</v>
          </cell>
          <cell r="AI108">
            <v>1</v>
          </cell>
          <cell r="AJ108">
            <v>1</v>
          </cell>
          <cell r="AN108">
            <v>1</v>
          </cell>
          <cell r="AP108">
            <v>1</v>
          </cell>
          <cell r="AQ108">
            <v>1</v>
          </cell>
          <cell r="AU108">
            <v>1</v>
          </cell>
          <cell r="AW108">
            <v>1</v>
          </cell>
          <cell r="AY108">
            <v>1</v>
          </cell>
          <cell r="BC108">
            <v>1</v>
          </cell>
          <cell r="BD108">
            <v>5</v>
          </cell>
          <cell r="BE108">
            <v>4</v>
          </cell>
          <cell r="BF108">
            <v>1</v>
          </cell>
          <cell r="BG108">
            <v>0</v>
          </cell>
          <cell r="BH108">
            <v>0</v>
          </cell>
          <cell r="BI108">
            <v>4</v>
          </cell>
        </row>
        <row r="109">
          <cell r="C109" t="str">
            <v>Vũ Xuân Trường</v>
          </cell>
          <cell r="D109">
            <v>1112</v>
          </cell>
          <cell r="G109">
            <v>1</v>
          </cell>
          <cell r="I109">
            <v>1</v>
          </cell>
          <cell r="N109">
            <v>1</v>
          </cell>
          <cell r="O109">
            <v>1</v>
          </cell>
          <cell r="S109">
            <v>1</v>
          </cell>
          <cell r="U109">
            <v>1</v>
          </cell>
          <cell r="V109">
            <v>1</v>
          </cell>
          <cell r="Z109">
            <v>1</v>
          </cell>
          <cell r="AB109">
            <v>1</v>
          </cell>
          <cell r="AC109">
            <v>1</v>
          </cell>
          <cell r="AG109">
            <v>1</v>
          </cell>
          <cell r="AI109">
            <v>1</v>
          </cell>
          <cell r="AJ109">
            <v>1</v>
          </cell>
          <cell r="AN109">
            <v>1</v>
          </cell>
          <cell r="AP109">
            <v>1</v>
          </cell>
          <cell r="AW109">
            <v>1</v>
          </cell>
          <cell r="AY109">
            <v>1</v>
          </cell>
          <cell r="BC109">
            <v>0</v>
          </cell>
          <cell r="BD109">
            <v>6</v>
          </cell>
          <cell r="BE109">
            <v>4</v>
          </cell>
          <cell r="BF109">
            <v>1</v>
          </cell>
          <cell r="BG109">
            <v>0</v>
          </cell>
          <cell r="BH109">
            <v>0</v>
          </cell>
          <cell r="BI109">
            <v>4</v>
          </cell>
        </row>
        <row r="110">
          <cell r="C110" t="str">
            <v>Đào Thị Dịu</v>
          </cell>
          <cell r="D110">
            <v>1113</v>
          </cell>
          <cell r="G110">
            <v>1</v>
          </cell>
          <cell r="H110">
            <v>1</v>
          </cell>
          <cell r="L110">
            <v>1</v>
          </cell>
          <cell r="N110">
            <v>1</v>
          </cell>
          <cell r="O110">
            <v>1</v>
          </cell>
          <cell r="S110">
            <v>1</v>
          </cell>
          <cell r="U110">
            <v>1</v>
          </cell>
          <cell r="V110">
            <v>1</v>
          </cell>
          <cell r="Z110">
            <v>1</v>
          </cell>
          <cell r="AB110">
            <v>1</v>
          </cell>
          <cell r="AC110">
            <v>1</v>
          </cell>
          <cell r="AG110">
            <v>1</v>
          </cell>
          <cell r="AI110">
            <v>1</v>
          </cell>
          <cell r="AJ110">
            <v>1</v>
          </cell>
          <cell r="AN110">
            <v>1</v>
          </cell>
          <cell r="AP110">
            <v>1</v>
          </cell>
          <cell r="AW110">
            <v>1</v>
          </cell>
          <cell r="AY110">
            <v>1</v>
          </cell>
          <cell r="BC110">
            <v>0</v>
          </cell>
          <cell r="BD110">
            <v>6</v>
          </cell>
          <cell r="BE110">
            <v>4</v>
          </cell>
          <cell r="BF110">
            <v>1</v>
          </cell>
          <cell r="BG110">
            <v>0</v>
          </cell>
          <cell r="BH110">
            <v>0</v>
          </cell>
          <cell r="BI110">
            <v>4</v>
          </cell>
        </row>
        <row r="111">
          <cell r="C111" t="str">
            <v>Đào Cao Sơn</v>
          </cell>
          <cell r="D111">
            <v>1114</v>
          </cell>
          <cell r="G111">
            <v>1</v>
          </cell>
          <cell r="H111">
            <v>1</v>
          </cell>
          <cell r="L111">
            <v>1</v>
          </cell>
          <cell r="N111">
            <v>1</v>
          </cell>
          <cell r="O111">
            <v>1</v>
          </cell>
          <cell r="S111">
            <v>1</v>
          </cell>
          <cell r="U111">
            <v>1</v>
          </cell>
          <cell r="V111">
            <v>1</v>
          </cell>
          <cell r="Z111">
            <v>1</v>
          </cell>
          <cell r="AB111">
            <v>1</v>
          </cell>
          <cell r="AC111">
            <v>1</v>
          </cell>
          <cell r="AG111">
            <v>1</v>
          </cell>
          <cell r="AI111">
            <v>1</v>
          </cell>
          <cell r="AJ111">
            <v>1</v>
          </cell>
          <cell r="AN111">
            <v>1</v>
          </cell>
          <cell r="AP111">
            <v>1</v>
          </cell>
          <cell r="AV111">
            <v>1</v>
          </cell>
          <cell r="AW111">
            <v>1</v>
          </cell>
          <cell r="AY111">
            <v>1</v>
          </cell>
          <cell r="BB111">
            <v>1</v>
          </cell>
          <cell r="BC111">
            <v>1</v>
          </cell>
          <cell r="BD111">
            <v>6</v>
          </cell>
          <cell r="BE111">
            <v>4</v>
          </cell>
          <cell r="BF111">
            <v>1</v>
          </cell>
          <cell r="BG111">
            <v>0</v>
          </cell>
          <cell r="BH111">
            <v>0</v>
          </cell>
          <cell r="BI111">
            <v>5</v>
          </cell>
        </row>
        <row r="112">
          <cell r="C112" t="str">
            <v>Nguyễn Thị Thanh Nga</v>
          </cell>
          <cell r="D112">
            <v>1115</v>
          </cell>
          <cell r="G112">
            <v>1</v>
          </cell>
          <cell r="H112">
            <v>1</v>
          </cell>
          <cell r="L112">
            <v>1</v>
          </cell>
          <cell r="N112">
            <v>1</v>
          </cell>
          <cell r="O112">
            <v>1</v>
          </cell>
          <cell r="S112">
            <v>1</v>
          </cell>
          <cell r="U112">
            <v>1</v>
          </cell>
          <cell r="V112">
            <v>1</v>
          </cell>
          <cell r="Z112">
            <v>1</v>
          </cell>
          <cell r="AB112">
            <v>1</v>
          </cell>
          <cell r="AC112">
            <v>1</v>
          </cell>
          <cell r="AG112">
            <v>1</v>
          </cell>
          <cell r="AI112">
            <v>1</v>
          </cell>
          <cell r="AJ112">
            <v>1</v>
          </cell>
          <cell r="AN112">
            <v>1</v>
          </cell>
          <cell r="AP112">
            <v>1</v>
          </cell>
          <cell r="AQ112">
            <v>1</v>
          </cell>
          <cell r="AU112">
            <v>1</v>
          </cell>
          <cell r="AW112">
            <v>1</v>
          </cell>
          <cell r="AY112">
            <v>1</v>
          </cell>
          <cell r="BC112">
            <v>0</v>
          </cell>
          <cell r="BD112">
            <v>6</v>
          </cell>
          <cell r="BE112">
            <v>5</v>
          </cell>
          <cell r="BF112">
            <v>1</v>
          </cell>
          <cell r="BG112">
            <v>0</v>
          </cell>
          <cell r="BH112">
            <v>0</v>
          </cell>
          <cell r="BI112">
            <v>5</v>
          </cell>
        </row>
        <row r="113">
          <cell r="C113" t="str">
            <v>Nguyễn Thị Vân Quỳnh</v>
          </cell>
          <cell r="D113">
            <v>1116</v>
          </cell>
          <cell r="G113">
            <v>1</v>
          </cell>
          <cell r="I113">
            <v>1</v>
          </cell>
          <cell r="L113">
            <v>1</v>
          </cell>
          <cell r="N113">
            <v>1</v>
          </cell>
          <cell r="O113">
            <v>1</v>
          </cell>
          <cell r="S113">
            <v>1</v>
          </cell>
          <cell r="U113">
            <v>1</v>
          </cell>
          <cell r="V113">
            <v>1</v>
          </cell>
          <cell r="Z113">
            <v>1</v>
          </cell>
          <cell r="AB113">
            <v>1</v>
          </cell>
          <cell r="AC113">
            <v>1</v>
          </cell>
          <cell r="AG113">
            <v>1</v>
          </cell>
          <cell r="AI113">
            <v>1</v>
          </cell>
          <cell r="AJ113">
            <v>1</v>
          </cell>
          <cell r="AN113">
            <v>1</v>
          </cell>
          <cell r="AP113">
            <v>1</v>
          </cell>
          <cell r="AW113">
            <v>1</v>
          </cell>
          <cell r="AY113">
            <v>1</v>
          </cell>
          <cell r="BC113">
            <v>0</v>
          </cell>
          <cell r="BD113">
            <v>6</v>
          </cell>
          <cell r="BE113">
            <v>4</v>
          </cell>
          <cell r="BF113">
            <v>1</v>
          </cell>
          <cell r="BG113">
            <v>0</v>
          </cell>
          <cell r="BH113">
            <v>0</v>
          </cell>
          <cell r="BI113">
            <v>4</v>
          </cell>
        </row>
        <row r="114">
          <cell r="C114" t="str">
            <v>Phạm Đức Hiếu</v>
          </cell>
          <cell r="D114">
            <v>1118</v>
          </cell>
          <cell r="E114" t="str">
            <v>Viện Trưởng, PBTCB</v>
          </cell>
          <cell r="G114">
            <v>1</v>
          </cell>
          <cell r="H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1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G114">
            <v>1</v>
          </cell>
          <cell r="AH114">
            <v>1</v>
          </cell>
          <cell r="AI114">
            <v>1</v>
          </cell>
          <cell r="AJ114">
            <v>1</v>
          </cell>
          <cell r="AN114">
            <v>1</v>
          </cell>
          <cell r="AO114">
            <v>1</v>
          </cell>
          <cell r="AP114">
            <v>1</v>
          </cell>
          <cell r="AQ114">
            <v>1</v>
          </cell>
          <cell r="AU114">
            <v>1</v>
          </cell>
          <cell r="AV114">
            <v>1</v>
          </cell>
          <cell r="AW114">
            <v>1</v>
          </cell>
          <cell r="AX114">
            <v>1</v>
          </cell>
          <cell r="BB114">
            <v>1</v>
          </cell>
          <cell r="BC114">
            <v>6</v>
          </cell>
          <cell r="BD114">
            <v>6</v>
          </cell>
          <cell r="BE114">
            <v>6</v>
          </cell>
          <cell r="BF114">
            <v>0</v>
          </cell>
          <cell r="BG114">
            <v>0</v>
          </cell>
          <cell r="BH114">
            <v>0</v>
          </cell>
          <cell r="BI114">
            <v>6</v>
          </cell>
        </row>
        <row r="115">
          <cell r="C115" t="str">
            <v>Nguyễn Thị Hồng Lam</v>
          </cell>
          <cell r="D115">
            <v>1119</v>
          </cell>
          <cell r="E115" t="str">
            <v>Trưởng bộ môn, CUV</v>
          </cell>
          <cell r="F115">
            <v>1</v>
          </cell>
          <cell r="G115">
            <v>1</v>
          </cell>
          <cell r="H115">
            <v>1</v>
          </cell>
          <cell r="L115">
            <v>1</v>
          </cell>
          <cell r="N115">
            <v>1</v>
          </cell>
          <cell r="O115">
            <v>1</v>
          </cell>
          <cell r="S115">
            <v>1</v>
          </cell>
          <cell r="U115">
            <v>1</v>
          </cell>
          <cell r="V115">
            <v>1</v>
          </cell>
          <cell r="Z115">
            <v>1</v>
          </cell>
          <cell r="AB115">
            <v>1</v>
          </cell>
          <cell r="AC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N115">
            <v>1</v>
          </cell>
          <cell r="AP115">
            <v>1</v>
          </cell>
          <cell r="AQ115">
            <v>1</v>
          </cell>
          <cell r="AU115">
            <v>1</v>
          </cell>
          <cell r="AV115">
            <v>1</v>
          </cell>
          <cell r="AW115">
            <v>1</v>
          </cell>
          <cell r="AX115">
            <v>1</v>
          </cell>
          <cell r="BB115">
            <v>1</v>
          </cell>
          <cell r="BC115">
            <v>2</v>
          </cell>
          <cell r="BD115">
            <v>6</v>
          </cell>
          <cell r="BE115">
            <v>6</v>
          </cell>
          <cell r="BF115">
            <v>0</v>
          </cell>
          <cell r="BG115">
            <v>0</v>
          </cell>
          <cell r="BH115">
            <v>0</v>
          </cell>
          <cell r="BI115">
            <v>6</v>
          </cell>
        </row>
        <row r="116">
          <cell r="C116" t="str">
            <v>Lại Thị Thu Thủy</v>
          </cell>
          <cell r="D116">
            <v>1120</v>
          </cell>
          <cell r="E116" t="str">
            <v xml:space="preserve">Phó Trưởng bộ môn </v>
          </cell>
          <cell r="G116">
            <v>1</v>
          </cell>
          <cell r="H116">
            <v>1</v>
          </cell>
          <cell r="L116">
            <v>1</v>
          </cell>
          <cell r="N116">
            <v>1</v>
          </cell>
          <cell r="O116">
            <v>1</v>
          </cell>
          <cell r="S116">
            <v>1</v>
          </cell>
          <cell r="U116">
            <v>1</v>
          </cell>
          <cell r="V116">
            <v>1</v>
          </cell>
          <cell r="Z116">
            <v>1</v>
          </cell>
          <cell r="AB116">
            <v>1</v>
          </cell>
          <cell r="AC116">
            <v>1</v>
          </cell>
          <cell r="AG116">
            <v>1</v>
          </cell>
          <cell r="AI116">
            <v>1</v>
          </cell>
          <cell r="AJ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U116">
            <v>1</v>
          </cell>
          <cell r="AV116">
            <v>1</v>
          </cell>
          <cell r="AW116">
            <v>1</v>
          </cell>
          <cell r="AY116">
            <v>1</v>
          </cell>
          <cell r="BB116">
            <v>1</v>
          </cell>
          <cell r="BC116">
            <v>2</v>
          </cell>
          <cell r="BD116">
            <v>6</v>
          </cell>
          <cell r="BE116">
            <v>5</v>
          </cell>
          <cell r="BF116">
            <v>1</v>
          </cell>
          <cell r="BG116">
            <v>0</v>
          </cell>
          <cell r="BH116">
            <v>0</v>
          </cell>
          <cell r="BI116">
            <v>6</v>
          </cell>
        </row>
        <row r="117">
          <cell r="C117" t="str">
            <v>Lưu Thị Duyên</v>
          </cell>
          <cell r="D117">
            <v>1121</v>
          </cell>
          <cell r="G117">
            <v>1</v>
          </cell>
          <cell r="H117">
            <v>1</v>
          </cell>
          <cell r="L117">
            <v>1</v>
          </cell>
          <cell r="N117">
            <v>1</v>
          </cell>
          <cell r="O117">
            <v>1</v>
          </cell>
          <cell r="S117">
            <v>1</v>
          </cell>
          <cell r="U117">
            <v>1</v>
          </cell>
          <cell r="V117">
            <v>1</v>
          </cell>
          <cell r="Z117">
            <v>1</v>
          </cell>
          <cell r="AB117">
            <v>1</v>
          </cell>
          <cell r="AC117">
            <v>1</v>
          </cell>
          <cell r="AG117">
            <v>1</v>
          </cell>
          <cell r="AI117">
            <v>1</v>
          </cell>
          <cell r="AJ117">
            <v>1</v>
          </cell>
          <cell r="AN117">
            <v>1</v>
          </cell>
          <cell r="AP117">
            <v>1</v>
          </cell>
          <cell r="AQ117">
            <v>1</v>
          </cell>
          <cell r="AU117">
            <v>1</v>
          </cell>
          <cell r="AW117">
            <v>1</v>
          </cell>
          <cell r="AY117">
            <v>1</v>
          </cell>
          <cell r="BC117">
            <v>0</v>
          </cell>
          <cell r="BD117">
            <v>5</v>
          </cell>
          <cell r="BE117">
            <v>4</v>
          </cell>
          <cell r="BF117">
            <v>1</v>
          </cell>
          <cell r="BG117">
            <v>0</v>
          </cell>
          <cell r="BH117">
            <v>0</v>
          </cell>
          <cell r="BI117">
            <v>4</v>
          </cell>
        </row>
        <row r="118">
          <cell r="C118" t="str">
            <v>Nguyễn Phú Giang</v>
          </cell>
          <cell r="D118">
            <v>1122</v>
          </cell>
          <cell r="F118">
            <v>1</v>
          </cell>
          <cell r="G118">
            <v>1</v>
          </cell>
          <cell r="H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G118">
            <v>1</v>
          </cell>
          <cell r="AI118">
            <v>1</v>
          </cell>
          <cell r="AK118">
            <v>1</v>
          </cell>
          <cell r="AP118">
            <v>1</v>
          </cell>
          <cell r="AQ118">
            <v>1</v>
          </cell>
          <cell r="AU118">
            <v>1</v>
          </cell>
          <cell r="AW118">
            <v>1</v>
          </cell>
          <cell r="AY118">
            <v>1</v>
          </cell>
          <cell r="BC118">
            <v>3</v>
          </cell>
          <cell r="BD118">
            <v>6</v>
          </cell>
          <cell r="BE118">
            <v>4</v>
          </cell>
          <cell r="BF118">
            <v>2</v>
          </cell>
          <cell r="BG118">
            <v>0</v>
          </cell>
          <cell r="BH118">
            <v>0</v>
          </cell>
          <cell r="BI118">
            <v>4</v>
          </cell>
        </row>
        <row r="119">
          <cell r="C119" t="str">
            <v xml:space="preserve">Nguyễn Thị Hà </v>
          </cell>
          <cell r="D119">
            <v>1123</v>
          </cell>
          <cell r="G119">
            <v>1</v>
          </cell>
          <cell r="H119">
            <v>1</v>
          </cell>
          <cell r="L119">
            <v>1</v>
          </cell>
          <cell r="N119">
            <v>1</v>
          </cell>
          <cell r="O119">
            <v>1</v>
          </cell>
          <cell r="S119">
            <v>1</v>
          </cell>
          <cell r="U119">
            <v>1</v>
          </cell>
          <cell r="V119">
            <v>1</v>
          </cell>
          <cell r="Z119">
            <v>1</v>
          </cell>
          <cell r="AB119">
            <v>1</v>
          </cell>
          <cell r="AC119">
            <v>1</v>
          </cell>
          <cell r="AG119">
            <v>1</v>
          </cell>
          <cell r="AI119">
            <v>1</v>
          </cell>
          <cell r="AJ119">
            <v>1</v>
          </cell>
          <cell r="AN119">
            <v>1</v>
          </cell>
          <cell r="AP119">
            <v>1</v>
          </cell>
          <cell r="AW119">
            <v>1</v>
          </cell>
          <cell r="AY119">
            <v>1</v>
          </cell>
          <cell r="BC119">
            <v>0</v>
          </cell>
          <cell r="BD119">
            <v>6</v>
          </cell>
          <cell r="BE119">
            <v>4</v>
          </cell>
          <cell r="BF119">
            <v>1</v>
          </cell>
          <cell r="BG119">
            <v>0</v>
          </cell>
          <cell r="BH119">
            <v>0</v>
          </cell>
          <cell r="BI119">
            <v>4</v>
          </cell>
        </row>
        <row r="120">
          <cell r="C120" t="str">
            <v>Trần Nguyễn Bích Hiền</v>
          </cell>
          <cell r="D120">
            <v>1124</v>
          </cell>
          <cell r="G120">
            <v>1</v>
          </cell>
          <cell r="H120">
            <v>1</v>
          </cell>
          <cell r="L120">
            <v>1</v>
          </cell>
          <cell r="N120">
            <v>1</v>
          </cell>
          <cell r="P120">
            <v>1</v>
          </cell>
          <cell r="X120">
            <v>1</v>
          </cell>
          <cell r="AB120">
            <v>1</v>
          </cell>
          <cell r="AC120">
            <v>1</v>
          </cell>
          <cell r="AG120">
            <v>1</v>
          </cell>
          <cell r="AI120">
            <v>1</v>
          </cell>
          <cell r="AJ120">
            <v>1</v>
          </cell>
          <cell r="AN120">
            <v>1</v>
          </cell>
          <cell r="AP120">
            <v>1</v>
          </cell>
          <cell r="AW120">
            <v>1</v>
          </cell>
          <cell r="AX120">
            <v>1</v>
          </cell>
          <cell r="BB120">
            <v>1</v>
          </cell>
          <cell r="BC120">
            <v>0</v>
          </cell>
          <cell r="BD120">
            <v>5</v>
          </cell>
          <cell r="BE120">
            <v>3</v>
          </cell>
          <cell r="BF120">
            <v>1</v>
          </cell>
          <cell r="BG120">
            <v>1</v>
          </cell>
          <cell r="BH120">
            <v>0</v>
          </cell>
          <cell r="BI120">
            <v>3</v>
          </cell>
        </row>
        <row r="121">
          <cell r="C121" t="str">
            <v>Đào Ngọc Hà</v>
          </cell>
          <cell r="D121">
            <v>1125</v>
          </cell>
          <cell r="E121" t="str">
            <v>CTCĐ</v>
          </cell>
          <cell r="G121">
            <v>1</v>
          </cell>
          <cell r="H121">
            <v>1</v>
          </cell>
          <cell r="L121">
            <v>1</v>
          </cell>
          <cell r="N121">
            <v>1</v>
          </cell>
          <cell r="P121">
            <v>1</v>
          </cell>
          <cell r="U121">
            <v>1</v>
          </cell>
          <cell r="W121">
            <v>1</v>
          </cell>
          <cell r="AB121">
            <v>1</v>
          </cell>
          <cell r="AC121">
            <v>1</v>
          </cell>
          <cell r="AG121">
            <v>1</v>
          </cell>
          <cell r="AI121">
            <v>1</v>
          </cell>
          <cell r="AJ121">
            <v>1</v>
          </cell>
          <cell r="AN121">
            <v>1</v>
          </cell>
          <cell r="AP121">
            <v>1</v>
          </cell>
          <cell r="AW121">
            <v>1</v>
          </cell>
          <cell r="AY121">
            <v>1</v>
          </cell>
          <cell r="BC121">
            <v>0</v>
          </cell>
          <cell r="BD121">
            <v>6</v>
          </cell>
          <cell r="BE121">
            <v>2</v>
          </cell>
          <cell r="BF121">
            <v>3</v>
          </cell>
          <cell r="BG121">
            <v>0</v>
          </cell>
          <cell r="BH121">
            <v>0</v>
          </cell>
          <cell r="BI121">
            <v>2</v>
          </cell>
        </row>
        <row r="122">
          <cell r="C122" t="str">
            <v>Nguyễn Thu Hoài</v>
          </cell>
          <cell r="D122">
            <v>1127</v>
          </cell>
          <cell r="G122">
            <v>1</v>
          </cell>
          <cell r="H122">
            <v>1</v>
          </cell>
          <cell r="L122">
            <v>1</v>
          </cell>
          <cell r="N122">
            <v>1</v>
          </cell>
          <cell r="O122">
            <v>1</v>
          </cell>
          <cell r="S122">
            <v>1</v>
          </cell>
          <cell r="U122">
            <v>1</v>
          </cell>
          <cell r="W122">
            <v>1</v>
          </cell>
          <cell r="AB122">
            <v>1</v>
          </cell>
          <cell r="AC122">
            <v>1</v>
          </cell>
          <cell r="AG122">
            <v>1</v>
          </cell>
          <cell r="AI122">
            <v>1</v>
          </cell>
          <cell r="AK122">
            <v>1</v>
          </cell>
          <cell r="AP122">
            <v>1</v>
          </cell>
          <cell r="AQ122">
            <v>1</v>
          </cell>
          <cell r="AU122">
            <v>1</v>
          </cell>
          <cell r="AW122">
            <v>1</v>
          </cell>
          <cell r="AY122">
            <v>1</v>
          </cell>
          <cell r="BC122">
            <v>0</v>
          </cell>
          <cell r="BD122">
            <v>6</v>
          </cell>
          <cell r="BE122">
            <v>3</v>
          </cell>
          <cell r="BF122">
            <v>3</v>
          </cell>
          <cell r="BG122">
            <v>0</v>
          </cell>
          <cell r="BH122">
            <v>0</v>
          </cell>
          <cell r="BI122">
            <v>3</v>
          </cell>
        </row>
        <row r="123">
          <cell r="C123" t="str">
            <v>Vũ Thị Thu Huyền</v>
          </cell>
          <cell r="D123">
            <v>1128</v>
          </cell>
          <cell r="G123">
            <v>1</v>
          </cell>
          <cell r="H123">
            <v>1</v>
          </cell>
          <cell r="L123">
            <v>1</v>
          </cell>
          <cell r="N123">
            <v>1</v>
          </cell>
          <cell r="O123">
            <v>1</v>
          </cell>
          <cell r="S123">
            <v>1</v>
          </cell>
          <cell r="U123">
            <v>1</v>
          </cell>
          <cell r="V123">
            <v>1</v>
          </cell>
          <cell r="Z123">
            <v>1</v>
          </cell>
          <cell r="AB123">
            <v>1</v>
          </cell>
          <cell r="AC123">
            <v>1</v>
          </cell>
          <cell r="AG123">
            <v>1</v>
          </cell>
          <cell r="AI123">
            <v>1</v>
          </cell>
          <cell r="AJ123">
            <v>1</v>
          </cell>
          <cell r="AN123">
            <v>1</v>
          </cell>
          <cell r="AP123">
            <v>1</v>
          </cell>
          <cell r="AV123">
            <v>1</v>
          </cell>
          <cell r="AW123">
            <v>1</v>
          </cell>
          <cell r="AY123">
            <v>1</v>
          </cell>
          <cell r="BB123">
            <v>1</v>
          </cell>
          <cell r="BC123">
            <v>1</v>
          </cell>
          <cell r="BD123">
            <v>6</v>
          </cell>
          <cell r="BE123">
            <v>4</v>
          </cell>
          <cell r="BF123">
            <v>1</v>
          </cell>
          <cell r="BG123">
            <v>0</v>
          </cell>
          <cell r="BH123">
            <v>0</v>
          </cell>
          <cell r="BI123">
            <v>5</v>
          </cell>
        </row>
        <row r="124">
          <cell r="C124" t="str">
            <v>Lương Thị Hồng Ngân</v>
          </cell>
          <cell r="D124">
            <v>1129</v>
          </cell>
          <cell r="G124">
            <v>1</v>
          </cell>
          <cell r="I124">
            <v>1</v>
          </cell>
          <cell r="N124">
            <v>1</v>
          </cell>
          <cell r="O124">
            <v>1</v>
          </cell>
          <cell r="S124">
            <v>1</v>
          </cell>
          <cell r="U124">
            <v>1</v>
          </cell>
          <cell r="V124">
            <v>1</v>
          </cell>
          <cell r="Z124">
            <v>1</v>
          </cell>
          <cell r="AB124">
            <v>1</v>
          </cell>
          <cell r="AC124">
            <v>1</v>
          </cell>
          <cell r="AG124">
            <v>1</v>
          </cell>
          <cell r="AI124">
            <v>1</v>
          </cell>
          <cell r="AJ124">
            <v>1</v>
          </cell>
          <cell r="AN124">
            <v>1</v>
          </cell>
          <cell r="AP124">
            <v>1</v>
          </cell>
          <cell r="AQ124">
            <v>1</v>
          </cell>
          <cell r="AU124">
            <v>1</v>
          </cell>
          <cell r="AW124">
            <v>1</v>
          </cell>
          <cell r="AY124">
            <v>1</v>
          </cell>
          <cell r="BC124">
            <v>0</v>
          </cell>
          <cell r="BD124">
            <v>6</v>
          </cell>
          <cell r="BE124">
            <v>5</v>
          </cell>
          <cell r="BF124">
            <v>1</v>
          </cell>
          <cell r="BG124">
            <v>0</v>
          </cell>
          <cell r="BH124">
            <v>0</v>
          </cell>
          <cell r="BI124">
            <v>5</v>
          </cell>
        </row>
        <row r="125">
          <cell r="C125" t="str">
            <v>Đỗ Thùy Linh</v>
          </cell>
          <cell r="D125">
            <v>1130</v>
          </cell>
          <cell r="AD125">
            <v>1</v>
          </cell>
          <cell r="AI125">
            <v>1</v>
          </cell>
          <cell r="AJ125">
            <v>1</v>
          </cell>
          <cell r="AN125">
            <v>1</v>
          </cell>
          <cell r="AP125">
            <v>1</v>
          </cell>
          <cell r="AQ125">
            <v>1</v>
          </cell>
          <cell r="AU125">
            <v>1</v>
          </cell>
          <cell r="AW125">
            <v>1</v>
          </cell>
          <cell r="AY125">
            <v>1</v>
          </cell>
          <cell r="BC125">
            <v>0</v>
          </cell>
          <cell r="BD125">
            <v>3</v>
          </cell>
          <cell r="BE125">
            <v>2</v>
          </cell>
          <cell r="BF125">
            <v>2</v>
          </cell>
          <cell r="BG125">
            <v>0</v>
          </cell>
          <cell r="BH125">
            <v>0</v>
          </cell>
          <cell r="BI125">
            <v>2</v>
          </cell>
        </row>
        <row r="126">
          <cell r="C126" t="str">
            <v>Hà Thị Thúy Vân</v>
          </cell>
          <cell r="D126">
            <v>1154</v>
          </cell>
          <cell r="E126" t="str">
            <v>Trưởng bộ môn</v>
          </cell>
          <cell r="G126">
            <v>1</v>
          </cell>
          <cell r="H126">
            <v>1</v>
          </cell>
          <cell r="L126">
            <v>1</v>
          </cell>
          <cell r="N126">
            <v>1</v>
          </cell>
          <cell r="O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1</v>
          </cell>
          <cell r="Z126">
            <v>1</v>
          </cell>
          <cell r="AB126">
            <v>1</v>
          </cell>
          <cell r="AD126">
            <v>1</v>
          </cell>
          <cell r="AI126">
            <v>1</v>
          </cell>
          <cell r="AJ126">
            <v>1</v>
          </cell>
          <cell r="AN126">
            <v>1</v>
          </cell>
          <cell r="AO126">
            <v>1</v>
          </cell>
          <cell r="AP126">
            <v>1</v>
          </cell>
          <cell r="AQ126">
            <v>1</v>
          </cell>
          <cell r="AU126">
            <v>1</v>
          </cell>
          <cell r="AV126">
            <v>1</v>
          </cell>
          <cell r="AW126">
            <v>1</v>
          </cell>
          <cell r="AY126">
            <v>1</v>
          </cell>
          <cell r="BB126">
            <v>1</v>
          </cell>
          <cell r="BC126">
            <v>3</v>
          </cell>
          <cell r="BD126">
            <v>6</v>
          </cell>
          <cell r="BE126">
            <v>4</v>
          </cell>
          <cell r="BF126">
            <v>2</v>
          </cell>
          <cell r="BG126">
            <v>0</v>
          </cell>
          <cell r="BH126">
            <v>0</v>
          </cell>
          <cell r="BI126">
            <v>5</v>
          </cell>
        </row>
        <row r="127">
          <cell r="C127" t="str">
            <v>Nguyễn Quang Hùng</v>
          </cell>
          <cell r="D127">
            <v>1131</v>
          </cell>
          <cell r="F127">
            <v>1</v>
          </cell>
          <cell r="G127">
            <v>1</v>
          </cell>
          <cell r="H127">
            <v>1</v>
          </cell>
          <cell r="L127">
            <v>1</v>
          </cell>
          <cell r="N127">
            <v>1</v>
          </cell>
          <cell r="O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Z127">
            <v>1</v>
          </cell>
          <cell r="AB127">
            <v>1</v>
          </cell>
          <cell r="AC127">
            <v>1</v>
          </cell>
          <cell r="AG127">
            <v>1</v>
          </cell>
          <cell r="AI127">
            <v>1</v>
          </cell>
          <cell r="AK127">
            <v>1</v>
          </cell>
          <cell r="AP127">
            <v>1</v>
          </cell>
          <cell r="AW127">
            <v>1</v>
          </cell>
          <cell r="AY127">
            <v>1</v>
          </cell>
          <cell r="BC127">
            <v>1</v>
          </cell>
          <cell r="BD127">
            <v>6</v>
          </cell>
          <cell r="BE127">
            <v>3</v>
          </cell>
          <cell r="BF127">
            <v>2</v>
          </cell>
          <cell r="BG127">
            <v>0</v>
          </cell>
          <cell r="BH127">
            <v>0</v>
          </cell>
          <cell r="BI127">
            <v>3</v>
          </cell>
        </row>
        <row r="128">
          <cell r="C128" t="str">
            <v>Đặng Văn Lương</v>
          </cell>
          <cell r="D128">
            <v>1133</v>
          </cell>
          <cell r="G128">
            <v>1</v>
          </cell>
          <cell r="H128">
            <v>1</v>
          </cell>
          <cell r="L128">
            <v>1</v>
          </cell>
          <cell r="M128">
            <v>1</v>
          </cell>
          <cell r="N128">
            <v>1</v>
          </cell>
          <cell r="O128">
            <v>1</v>
          </cell>
          <cell r="S128">
            <v>1</v>
          </cell>
          <cell r="T128">
            <v>1</v>
          </cell>
          <cell r="U128">
            <v>1</v>
          </cell>
          <cell r="V128">
            <v>1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G128">
            <v>1</v>
          </cell>
          <cell r="AI128">
            <v>1</v>
          </cell>
          <cell r="AJ128">
            <v>1</v>
          </cell>
          <cell r="AN128">
            <v>1</v>
          </cell>
          <cell r="AP128">
            <v>1</v>
          </cell>
          <cell r="AW128">
            <v>1</v>
          </cell>
          <cell r="AY128">
            <v>1</v>
          </cell>
          <cell r="BC128">
            <v>3</v>
          </cell>
          <cell r="BD128">
            <v>6</v>
          </cell>
          <cell r="BE128">
            <v>4</v>
          </cell>
          <cell r="BF128">
            <v>1</v>
          </cell>
          <cell r="BG128">
            <v>0</v>
          </cell>
          <cell r="BH128">
            <v>0</v>
          </cell>
          <cell r="BI128">
            <v>4</v>
          </cell>
        </row>
        <row r="129">
          <cell r="C129" t="str">
            <v>Nguyễn Thị Thu Hương</v>
          </cell>
          <cell r="D129">
            <v>1135</v>
          </cell>
          <cell r="E129" t="str">
            <v>Phó Trưởng bộ môn</v>
          </cell>
          <cell r="G129">
            <v>1</v>
          </cell>
          <cell r="H129">
            <v>1</v>
          </cell>
          <cell r="L129">
            <v>1</v>
          </cell>
          <cell r="N129">
            <v>1</v>
          </cell>
          <cell r="P129">
            <v>1</v>
          </cell>
          <cell r="U129">
            <v>1</v>
          </cell>
          <cell r="V129">
            <v>1</v>
          </cell>
          <cell r="Z129">
            <v>1</v>
          </cell>
          <cell r="AB129">
            <v>1</v>
          </cell>
          <cell r="AC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N129">
            <v>1</v>
          </cell>
          <cell r="AP129">
            <v>1</v>
          </cell>
          <cell r="AW129">
            <v>1</v>
          </cell>
          <cell r="AY129">
            <v>1</v>
          </cell>
          <cell r="BC129">
            <v>1</v>
          </cell>
          <cell r="BD129">
            <v>6</v>
          </cell>
          <cell r="BE129">
            <v>3</v>
          </cell>
          <cell r="BF129">
            <v>2</v>
          </cell>
          <cell r="BG129">
            <v>0</v>
          </cell>
          <cell r="BH129">
            <v>0</v>
          </cell>
          <cell r="BI129">
            <v>3</v>
          </cell>
        </row>
        <row r="130">
          <cell r="C130" t="str">
            <v>Phạm Thị Thu Hoài</v>
          </cell>
          <cell r="D130">
            <v>1136</v>
          </cell>
          <cell r="G130">
            <v>1</v>
          </cell>
          <cell r="H130">
            <v>1</v>
          </cell>
          <cell r="L130">
            <v>1</v>
          </cell>
          <cell r="N130">
            <v>1</v>
          </cell>
          <cell r="O130">
            <v>1</v>
          </cell>
          <cell r="S130">
            <v>1</v>
          </cell>
          <cell r="U130">
            <v>1</v>
          </cell>
          <cell r="W130">
            <v>1</v>
          </cell>
          <cell r="AB130">
            <v>1</v>
          </cell>
          <cell r="AC130">
            <v>1</v>
          </cell>
          <cell r="AG130">
            <v>1</v>
          </cell>
          <cell r="AI130">
            <v>1</v>
          </cell>
          <cell r="AJ130">
            <v>1</v>
          </cell>
          <cell r="AN130">
            <v>1</v>
          </cell>
          <cell r="AP130">
            <v>1</v>
          </cell>
          <cell r="AW130">
            <v>1</v>
          </cell>
          <cell r="AY130">
            <v>1</v>
          </cell>
          <cell r="BC130">
            <v>0</v>
          </cell>
          <cell r="BD130">
            <v>6</v>
          </cell>
          <cell r="BE130">
            <v>3</v>
          </cell>
          <cell r="BF130">
            <v>2</v>
          </cell>
          <cell r="BG130">
            <v>0</v>
          </cell>
          <cell r="BH130">
            <v>0</v>
          </cell>
          <cell r="BI130">
            <v>3</v>
          </cell>
        </row>
        <row r="131">
          <cell r="C131" t="str">
            <v>Nguyễn Thị Mai</v>
          </cell>
          <cell r="D131">
            <v>1137</v>
          </cell>
          <cell r="G131">
            <v>1</v>
          </cell>
          <cell r="I131">
            <v>1</v>
          </cell>
          <cell r="N131">
            <v>1</v>
          </cell>
          <cell r="O131">
            <v>1</v>
          </cell>
          <cell r="S131">
            <v>1</v>
          </cell>
          <cell r="U131">
            <v>1</v>
          </cell>
          <cell r="V131">
            <v>1</v>
          </cell>
          <cell r="Z131">
            <v>1</v>
          </cell>
          <cell r="AB131">
            <v>1</v>
          </cell>
          <cell r="AC131">
            <v>1</v>
          </cell>
          <cell r="AG131">
            <v>1</v>
          </cell>
          <cell r="AI131">
            <v>1</v>
          </cell>
          <cell r="AJ131">
            <v>1</v>
          </cell>
          <cell r="AN131">
            <v>1</v>
          </cell>
          <cell r="AP131">
            <v>1</v>
          </cell>
          <cell r="AW131">
            <v>1</v>
          </cell>
          <cell r="AY131">
            <v>1</v>
          </cell>
          <cell r="BC131">
            <v>0</v>
          </cell>
          <cell r="BD131">
            <v>6</v>
          </cell>
          <cell r="BE131">
            <v>4</v>
          </cell>
          <cell r="BF131">
            <v>1</v>
          </cell>
          <cell r="BG131">
            <v>0</v>
          </cell>
          <cell r="BH131">
            <v>0</v>
          </cell>
          <cell r="BI131">
            <v>4</v>
          </cell>
        </row>
        <row r="132">
          <cell r="C132" t="str">
            <v>Tô Thị Vân Anh</v>
          </cell>
          <cell r="D132">
            <v>1138</v>
          </cell>
          <cell r="E132" t="str">
            <v>BTCĐ</v>
          </cell>
          <cell r="G132">
            <v>1</v>
          </cell>
          <cell r="I132">
            <v>1</v>
          </cell>
          <cell r="N132">
            <v>1</v>
          </cell>
          <cell r="O132">
            <v>1</v>
          </cell>
          <cell r="S132">
            <v>1</v>
          </cell>
          <cell r="U132">
            <v>1</v>
          </cell>
          <cell r="V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G132">
            <v>1</v>
          </cell>
          <cell r="AI132">
            <v>1</v>
          </cell>
          <cell r="AJ132">
            <v>1</v>
          </cell>
          <cell r="AN132">
            <v>1</v>
          </cell>
          <cell r="AP132">
            <v>1</v>
          </cell>
          <cell r="AQ132">
            <v>1</v>
          </cell>
          <cell r="AU132">
            <v>1</v>
          </cell>
          <cell r="AW132">
            <v>1</v>
          </cell>
          <cell r="AX132">
            <v>1</v>
          </cell>
          <cell r="BB132">
            <v>1</v>
          </cell>
          <cell r="BC132">
            <v>1</v>
          </cell>
          <cell r="BD132">
            <v>6</v>
          </cell>
          <cell r="BE132">
            <v>6</v>
          </cell>
          <cell r="BF132">
            <v>0</v>
          </cell>
          <cell r="BG132">
            <v>0</v>
          </cell>
          <cell r="BH132">
            <v>0</v>
          </cell>
          <cell r="BI132">
            <v>6</v>
          </cell>
        </row>
        <row r="133">
          <cell r="C133" t="str">
            <v>Hoàng Thị Tâm</v>
          </cell>
          <cell r="D133">
            <v>1139</v>
          </cell>
          <cell r="F133">
            <v>1</v>
          </cell>
          <cell r="G133">
            <v>1</v>
          </cell>
          <cell r="H133">
            <v>1</v>
          </cell>
          <cell r="L133">
            <v>1</v>
          </cell>
          <cell r="N133">
            <v>1</v>
          </cell>
          <cell r="O133">
            <v>1</v>
          </cell>
          <cell r="S133">
            <v>1</v>
          </cell>
          <cell r="U133">
            <v>1</v>
          </cell>
          <cell r="V133">
            <v>1</v>
          </cell>
          <cell r="Z133">
            <v>1</v>
          </cell>
          <cell r="AB133">
            <v>1</v>
          </cell>
          <cell r="AD133">
            <v>1</v>
          </cell>
          <cell r="AI133">
            <v>1</v>
          </cell>
          <cell r="AJ133">
            <v>1</v>
          </cell>
          <cell r="AN133">
            <v>1</v>
          </cell>
          <cell r="AP133">
            <v>1</v>
          </cell>
          <cell r="AV133">
            <v>1</v>
          </cell>
          <cell r="AW133">
            <v>1</v>
          </cell>
          <cell r="AY133">
            <v>1</v>
          </cell>
          <cell r="BB133">
            <v>1</v>
          </cell>
          <cell r="BC133">
            <v>1</v>
          </cell>
          <cell r="BD133">
            <v>6</v>
          </cell>
          <cell r="BE133">
            <v>3</v>
          </cell>
          <cell r="BF133">
            <v>2</v>
          </cell>
          <cell r="BG133">
            <v>0</v>
          </cell>
          <cell r="BH133">
            <v>0</v>
          </cell>
          <cell r="BI133">
            <v>4</v>
          </cell>
        </row>
        <row r="134">
          <cell r="C134" t="str">
            <v>Trần Ngọc Trang</v>
          </cell>
          <cell r="D134">
            <v>1140</v>
          </cell>
          <cell r="G134">
            <v>1</v>
          </cell>
          <cell r="I134">
            <v>1</v>
          </cell>
          <cell r="N134">
            <v>1</v>
          </cell>
          <cell r="P134">
            <v>1</v>
          </cell>
          <cell r="U134">
            <v>1</v>
          </cell>
          <cell r="W134">
            <v>1</v>
          </cell>
          <cell r="AB134">
            <v>1</v>
          </cell>
          <cell r="AD134">
            <v>1</v>
          </cell>
          <cell r="AI134">
            <v>1</v>
          </cell>
          <cell r="AK134">
            <v>1</v>
          </cell>
          <cell r="AP134">
            <v>1</v>
          </cell>
          <cell r="AQ134">
            <v>1</v>
          </cell>
          <cell r="AU134">
            <v>1</v>
          </cell>
          <cell r="AW134">
            <v>1</v>
          </cell>
          <cell r="AX134">
            <v>1</v>
          </cell>
          <cell r="BC134">
            <v>0</v>
          </cell>
          <cell r="BD134">
            <v>6</v>
          </cell>
          <cell r="BE134">
            <v>2</v>
          </cell>
          <cell r="BF134">
            <v>4</v>
          </cell>
          <cell r="BG134">
            <v>0</v>
          </cell>
          <cell r="BH134">
            <v>0</v>
          </cell>
          <cell r="BI134">
            <v>1</v>
          </cell>
        </row>
        <row r="135">
          <cell r="C135" t="str">
            <v>Đàm Bích Hà</v>
          </cell>
          <cell r="D135">
            <v>1158</v>
          </cell>
          <cell r="G135">
            <v>1</v>
          </cell>
          <cell r="H135">
            <v>1</v>
          </cell>
          <cell r="L135">
            <v>1</v>
          </cell>
          <cell r="N135">
            <v>1</v>
          </cell>
          <cell r="O135">
            <v>1</v>
          </cell>
          <cell r="S135">
            <v>1</v>
          </cell>
          <cell r="U135">
            <v>1</v>
          </cell>
          <cell r="V135">
            <v>1</v>
          </cell>
          <cell r="Z135">
            <v>1</v>
          </cell>
          <cell r="AB135">
            <v>1</v>
          </cell>
          <cell r="AC135">
            <v>1</v>
          </cell>
          <cell r="AG135">
            <v>1</v>
          </cell>
          <cell r="AI135">
            <v>1</v>
          </cell>
          <cell r="AJ135">
            <v>1</v>
          </cell>
          <cell r="AN135">
            <v>1</v>
          </cell>
          <cell r="AP135">
            <v>1</v>
          </cell>
          <cell r="AQ135">
            <v>1</v>
          </cell>
          <cell r="AU135">
            <v>1</v>
          </cell>
          <cell r="AW135">
            <v>1</v>
          </cell>
          <cell r="AY135">
            <v>1</v>
          </cell>
          <cell r="BC135">
            <v>0</v>
          </cell>
          <cell r="BD135">
            <v>6</v>
          </cell>
          <cell r="BE135">
            <v>5</v>
          </cell>
          <cell r="BF135">
            <v>1</v>
          </cell>
          <cell r="BG135">
            <v>0</v>
          </cell>
          <cell r="BH135">
            <v>0</v>
          </cell>
          <cell r="BI135">
            <v>5</v>
          </cell>
        </row>
        <row r="136">
          <cell r="C136" t="str">
            <v>Cao Hồng Loan</v>
          </cell>
          <cell r="D136">
            <v>1126</v>
          </cell>
          <cell r="G136">
            <v>1</v>
          </cell>
          <cell r="H136">
            <v>1</v>
          </cell>
          <cell r="L136">
            <v>1</v>
          </cell>
          <cell r="N136">
            <v>1</v>
          </cell>
          <cell r="O136">
            <v>1</v>
          </cell>
          <cell r="S136">
            <v>1</v>
          </cell>
          <cell r="U136">
            <v>1</v>
          </cell>
          <cell r="V136">
            <v>1</v>
          </cell>
          <cell r="Z136">
            <v>1</v>
          </cell>
          <cell r="AB136">
            <v>1</v>
          </cell>
          <cell r="AC136">
            <v>1</v>
          </cell>
          <cell r="AG136">
            <v>1</v>
          </cell>
          <cell r="AI136">
            <v>1</v>
          </cell>
          <cell r="AJ136">
            <v>1</v>
          </cell>
          <cell r="AN136">
            <v>1</v>
          </cell>
          <cell r="AP136">
            <v>1</v>
          </cell>
          <cell r="AW136">
            <v>1</v>
          </cell>
          <cell r="AY136">
            <v>1</v>
          </cell>
          <cell r="BC136">
            <v>0</v>
          </cell>
          <cell r="BD136">
            <v>6</v>
          </cell>
          <cell r="BE136">
            <v>4</v>
          </cell>
          <cell r="BF136">
            <v>1</v>
          </cell>
          <cell r="BG136">
            <v>0</v>
          </cell>
          <cell r="BH136">
            <v>0</v>
          </cell>
          <cell r="BI136">
            <v>4</v>
          </cell>
        </row>
        <row r="137">
          <cell r="C137" t="str">
            <v>Lê Thị Thương</v>
          </cell>
          <cell r="D137">
            <v>1163</v>
          </cell>
          <cell r="AE137">
            <v>1</v>
          </cell>
          <cell r="AI137">
            <v>1</v>
          </cell>
          <cell r="AJ137">
            <v>1</v>
          </cell>
          <cell r="AN137">
            <v>1</v>
          </cell>
          <cell r="AP137">
            <v>1</v>
          </cell>
          <cell r="AZ137">
            <v>1</v>
          </cell>
          <cell r="BC137">
            <v>0</v>
          </cell>
          <cell r="BD137">
            <v>2</v>
          </cell>
          <cell r="BE137">
            <v>1</v>
          </cell>
          <cell r="BF137">
            <v>0</v>
          </cell>
          <cell r="BG137">
            <v>2</v>
          </cell>
          <cell r="BH137">
            <v>0</v>
          </cell>
          <cell r="BI137">
            <v>1</v>
          </cell>
        </row>
        <row r="138">
          <cell r="C138" t="str">
            <v>Hoàng Thị Bích Ngọc</v>
          </cell>
          <cell r="D138">
            <v>1141</v>
          </cell>
          <cell r="E138" t="str">
            <v>Trưởng bộ môn, CUV</v>
          </cell>
          <cell r="G138">
            <v>1</v>
          </cell>
          <cell r="H138">
            <v>1</v>
          </cell>
          <cell r="L138">
            <v>1</v>
          </cell>
          <cell r="N138">
            <v>1</v>
          </cell>
          <cell r="O138">
            <v>1</v>
          </cell>
          <cell r="S138">
            <v>1</v>
          </cell>
          <cell r="U138">
            <v>1</v>
          </cell>
          <cell r="V138">
            <v>1</v>
          </cell>
          <cell r="Z138">
            <v>1</v>
          </cell>
          <cell r="AB138">
            <v>1</v>
          </cell>
          <cell r="AC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N138">
            <v>1</v>
          </cell>
          <cell r="AO138">
            <v>1</v>
          </cell>
          <cell r="AP138">
            <v>1</v>
          </cell>
          <cell r="AQ138">
            <v>1</v>
          </cell>
          <cell r="AU138">
            <v>1</v>
          </cell>
          <cell r="AV138">
            <v>1</v>
          </cell>
          <cell r="AW138">
            <v>1</v>
          </cell>
          <cell r="AY138">
            <v>1</v>
          </cell>
          <cell r="BB138">
            <v>1</v>
          </cell>
          <cell r="BC138">
            <v>3</v>
          </cell>
          <cell r="BD138">
            <v>6</v>
          </cell>
          <cell r="BE138">
            <v>5</v>
          </cell>
          <cell r="BF138">
            <v>1</v>
          </cell>
          <cell r="BG138">
            <v>0</v>
          </cell>
          <cell r="BH138">
            <v>0</v>
          </cell>
          <cell r="BI138">
            <v>6</v>
          </cell>
        </row>
        <row r="139">
          <cell r="C139" t="str">
            <v>Phan Hương Thảo</v>
          </cell>
          <cell r="D139">
            <v>1142</v>
          </cell>
          <cell r="E139" t="str">
            <v>Phó Trưởng bộ môn</v>
          </cell>
          <cell r="G139">
            <v>1</v>
          </cell>
          <cell r="I139">
            <v>1</v>
          </cell>
          <cell r="N139">
            <v>1</v>
          </cell>
          <cell r="O139">
            <v>1</v>
          </cell>
          <cell r="S139">
            <v>1</v>
          </cell>
          <cell r="U139">
            <v>1</v>
          </cell>
          <cell r="V139">
            <v>1</v>
          </cell>
          <cell r="Z139">
            <v>1</v>
          </cell>
          <cell r="AB139">
            <v>1</v>
          </cell>
          <cell r="AC139">
            <v>1</v>
          </cell>
          <cell r="AG139">
            <v>1</v>
          </cell>
          <cell r="AI139">
            <v>1</v>
          </cell>
          <cell r="AJ139">
            <v>1</v>
          </cell>
          <cell r="AN139">
            <v>1</v>
          </cell>
          <cell r="AO139">
            <v>1</v>
          </cell>
          <cell r="AP139">
            <v>1</v>
          </cell>
          <cell r="AQ139">
            <v>1</v>
          </cell>
          <cell r="AU139">
            <v>1</v>
          </cell>
          <cell r="AV139">
            <v>1</v>
          </cell>
          <cell r="AW139">
            <v>1</v>
          </cell>
          <cell r="AX139">
            <v>1</v>
          </cell>
          <cell r="BC139">
            <v>2</v>
          </cell>
          <cell r="BD139">
            <v>6</v>
          </cell>
          <cell r="BE139">
            <v>6</v>
          </cell>
          <cell r="BF139">
            <v>0</v>
          </cell>
          <cell r="BG139">
            <v>0</v>
          </cell>
          <cell r="BH139">
            <v>0</v>
          </cell>
          <cell r="BI139">
            <v>5</v>
          </cell>
        </row>
        <row r="140">
          <cell r="C140" t="str">
            <v>Trần Thị Hồng Mai</v>
          </cell>
          <cell r="D140">
            <v>1143</v>
          </cell>
          <cell r="F140">
            <v>1</v>
          </cell>
          <cell r="G140">
            <v>1</v>
          </cell>
          <cell r="H140">
            <v>1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S140">
            <v>1</v>
          </cell>
          <cell r="U140">
            <v>1</v>
          </cell>
          <cell r="V140">
            <v>1</v>
          </cell>
          <cell r="Z140">
            <v>1</v>
          </cell>
          <cell r="AB140">
            <v>1</v>
          </cell>
          <cell r="AC140">
            <v>1</v>
          </cell>
          <cell r="AG140">
            <v>1</v>
          </cell>
          <cell r="AI140">
            <v>1</v>
          </cell>
          <cell r="AJ140">
            <v>1</v>
          </cell>
          <cell r="AN140">
            <v>1</v>
          </cell>
          <cell r="AP140">
            <v>1</v>
          </cell>
          <cell r="AW140">
            <v>1</v>
          </cell>
          <cell r="AY140">
            <v>1</v>
          </cell>
          <cell r="BC140">
            <v>0</v>
          </cell>
          <cell r="BD140">
            <v>5</v>
          </cell>
          <cell r="BE140">
            <v>3</v>
          </cell>
          <cell r="BF140">
            <v>1</v>
          </cell>
          <cell r="BG140">
            <v>0</v>
          </cell>
          <cell r="BH140">
            <v>0</v>
          </cell>
          <cell r="BI140">
            <v>3</v>
          </cell>
        </row>
        <row r="141">
          <cell r="C141" t="str">
            <v>Nguyễn Thị Nhinh</v>
          </cell>
          <cell r="D141">
            <v>1144</v>
          </cell>
          <cell r="G141">
            <v>1</v>
          </cell>
          <cell r="H141">
            <v>1</v>
          </cell>
          <cell r="L141">
            <v>1</v>
          </cell>
          <cell r="N141">
            <v>1</v>
          </cell>
          <cell r="P141">
            <v>1</v>
          </cell>
          <cell r="U141">
            <v>1</v>
          </cell>
          <cell r="W141">
            <v>1</v>
          </cell>
          <cell r="AB141">
            <v>1</v>
          </cell>
          <cell r="AC141">
            <v>1</v>
          </cell>
          <cell r="AG141">
            <v>1</v>
          </cell>
          <cell r="AI141">
            <v>1</v>
          </cell>
          <cell r="AJ141">
            <v>1</v>
          </cell>
          <cell r="AN141">
            <v>1</v>
          </cell>
          <cell r="AP141">
            <v>1</v>
          </cell>
          <cell r="AQ141">
            <v>1</v>
          </cell>
          <cell r="AU141">
            <v>1</v>
          </cell>
          <cell r="AW141">
            <v>1</v>
          </cell>
          <cell r="AY141">
            <v>1</v>
          </cell>
          <cell r="BC141">
            <v>0</v>
          </cell>
          <cell r="BD141">
            <v>6</v>
          </cell>
          <cell r="BE141">
            <v>3</v>
          </cell>
          <cell r="BF141">
            <v>3</v>
          </cell>
          <cell r="BG141">
            <v>0</v>
          </cell>
          <cell r="BH141">
            <v>0</v>
          </cell>
          <cell r="BI141">
            <v>3</v>
          </cell>
        </row>
        <row r="142">
          <cell r="C142" t="str">
            <v>Nguyễn Thị Minh Giang</v>
          </cell>
          <cell r="D142">
            <v>1145</v>
          </cell>
          <cell r="G142">
            <v>1</v>
          </cell>
          <cell r="H142">
            <v>1</v>
          </cell>
          <cell r="L142">
            <v>1</v>
          </cell>
          <cell r="N142">
            <v>1</v>
          </cell>
          <cell r="O142">
            <v>1</v>
          </cell>
          <cell r="S142">
            <v>1</v>
          </cell>
          <cell r="U142">
            <v>1</v>
          </cell>
          <cell r="V142">
            <v>1</v>
          </cell>
          <cell r="Z142">
            <v>1</v>
          </cell>
          <cell r="AB142">
            <v>1</v>
          </cell>
          <cell r="AC142">
            <v>1</v>
          </cell>
          <cell r="AG142">
            <v>1</v>
          </cell>
          <cell r="AI142">
            <v>1</v>
          </cell>
          <cell r="AJ142">
            <v>1</v>
          </cell>
          <cell r="AN142">
            <v>1</v>
          </cell>
          <cell r="AP142">
            <v>1</v>
          </cell>
          <cell r="AQ142">
            <v>1</v>
          </cell>
          <cell r="AU142">
            <v>1</v>
          </cell>
          <cell r="AW142">
            <v>1</v>
          </cell>
          <cell r="AY142">
            <v>1</v>
          </cell>
          <cell r="BC142">
            <v>0</v>
          </cell>
          <cell r="BD142">
            <v>6</v>
          </cell>
          <cell r="BE142">
            <v>5</v>
          </cell>
          <cell r="BF142">
            <v>1</v>
          </cell>
          <cell r="BG142">
            <v>0</v>
          </cell>
          <cell r="BH142">
            <v>0</v>
          </cell>
          <cell r="BI142">
            <v>5</v>
          </cell>
        </row>
        <row r="143">
          <cell r="C143" t="str">
            <v>Chu Thị Huyến</v>
          </cell>
          <cell r="D143">
            <v>1146</v>
          </cell>
          <cell r="G143">
            <v>1</v>
          </cell>
          <cell r="I143">
            <v>1</v>
          </cell>
          <cell r="N143">
            <v>1</v>
          </cell>
          <cell r="O143">
            <v>1</v>
          </cell>
          <cell r="S143">
            <v>1</v>
          </cell>
          <cell r="U143">
            <v>1</v>
          </cell>
          <cell r="V143">
            <v>1</v>
          </cell>
          <cell r="Z143">
            <v>1</v>
          </cell>
          <cell r="AB143">
            <v>1</v>
          </cell>
          <cell r="AC143">
            <v>1</v>
          </cell>
          <cell r="AG143">
            <v>1</v>
          </cell>
          <cell r="AI143">
            <v>1</v>
          </cell>
          <cell r="AJ143">
            <v>1</v>
          </cell>
          <cell r="AN143">
            <v>1</v>
          </cell>
          <cell r="AP143">
            <v>1</v>
          </cell>
          <cell r="AW143">
            <v>1</v>
          </cell>
          <cell r="AY143">
            <v>1</v>
          </cell>
          <cell r="BC143">
            <v>0</v>
          </cell>
          <cell r="BD143">
            <v>6</v>
          </cell>
          <cell r="BE143">
            <v>4</v>
          </cell>
          <cell r="BF143">
            <v>1</v>
          </cell>
          <cell r="BG143">
            <v>0</v>
          </cell>
          <cell r="BH143">
            <v>0</v>
          </cell>
          <cell r="BI143">
            <v>4</v>
          </cell>
        </row>
        <row r="144">
          <cell r="C144" t="str">
            <v>Nguyễn Quỳnh Trang</v>
          </cell>
          <cell r="D144">
            <v>1147</v>
          </cell>
          <cell r="G144">
            <v>1</v>
          </cell>
          <cell r="H144">
            <v>1</v>
          </cell>
          <cell r="L144">
            <v>1</v>
          </cell>
          <cell r="N144">
            <v>1</v>
          </cell>
          <cell r="O144">
            <v>1</v>
          </cell>
          <cell r="S144">
            <v>1</v>
          </cell>
          <cell r="U144">
            <v>1</v>
          </cell>
          <cell r="V144">
            <v>1</v>
          </cell>
          <cell r="Z144">
            <v>1</v>
          </cell>
          <cell r="AB144">
            <v>1</v>
          </cell>
          <cell r="AC144">
            <v>1</v>
          </cell>
          <cell r="AG144">
            <v>1</v>
          </cell>
          <cell r="AI144">
            <v>1</v>
          </cell>
          <cell r="AJ144">
            <v>1</v>
          </cell>
          <cell r="AN144">
            <v>1</v>
          </cell>
          <cell r="AP144">
            <v>1</v>
          </cell>
          <cell r="AQ144">
            <v>1</v>
          </cell>
          <cell r="AU144">
            <v>1</v>
          </cell>
          <cell r="AV144">
            <v>1</v>
          </cell>
          <cell r="AW144">
            <v>1</v>
          </cell>
          <cell r="AX144">
            <v>1</v>
          </cell>
          <cell r="BB144">
            <v>1</v>
          </cell>
          <cell r="BC144">
            <v>1</v>
          </cell>
          <cell r="BD144">
            <v>6</v>
          </cell>
          <cell r="BE144">
            <v>6</v>
          </cell>
          <cell r="BF144">
            <v>0</v>
          </cell>
          <cell r="BG144">
            <v>0</v>
          </cell>
          <cell r="BH144">
            <v>0</v>
          </cell>
          <cell r="BI144">
            <v>6</v>
          </cell>
        </row>
        <row r="145">
          <cell r="C145" t="str">
            <v>Nguyễn Thị Thúy</v>
          </cell>
          <cell r="D145">
            <v>1148</v>
          </cell>
          <cell r="G145">
            <v>1</v>
          </cell>
          <cell r="H145">
            <v>1</v>
          </cell>
          <cell r="L145">
            <v>1</v>
          </cell>
          <cell r="N145">
            <v>1</v>
          </cell>
          <cell r="O145">
            <v>1</v>
          </cell>
          <cell r="S145">
            <v>1</v>
          </cell>
          <cell r="U145">
            <v>1</v>
          </cell>
          <cell r="V145">
            <v>1</v>
          </cell>
          <cell r="Z145">
            <v>1</v>
          </cell>
          <cell r="AB145">
            <v>1</v>
          </cell>
          <cell r="AC145">
            <v>1</v>
          </cell>
          <cell r="AG145">
            <v>1</v>
          </cell>
          <cell r="AI145">
            <v>1</v>
          </cell>
          <cell r="AJ145">
            <v>1</v>
          </cell>
          <cell r="AN145">
            <v>1</v>
          </cell>
          <cell r="AP145">
            <v>1</v>
          </cell>
          <cell r="AW145">
            <v>1</v>
          </cell>
          <cell r="AY145">
            <v>1</v>
          </cell>
          <cell r="BC145">
            <v>0</v>
          </cell>
          <cell r="BD145">
            <v>6</v>
          </cell>
          <cell r="BE145">
            <v>4</v>
          </cell>
          <cell r="BF145">
            <v>1</v>
          </cell>
          <cell r="BG145">
            <v>0</v>
          </cell>
          <cell r="BH145">
            <v>0</v>
          </cell>
          <cell r="BI145">
            <v>4</v>
          </cell>
        </row>
        <row r="146">
          <cell r="C146" t="str">
            <v>Vũ Thị Thanh Huyền</v>
          </cell>
          <cell r="D146">
            <v>1149</v>
          </cell>
          <cell r="G146">
            <v>1</v>
          </cell>
          <cell r="H146">
            <v>1</v>
          </cell>
          <cell r="L146">
            <v>1</v>
          </cell>
          <cell r="N146">
            <v>1</v>
          </cell>
          <cell r="O146">
            <v>1</v>
          </cell>
          <cell r="S146">
            <v>1</v>
          </cell>
          <cell r="U146">
            <v>1</v>
          </cell>
          <cell r="V146">
            <v>1</v>
          </cell>
          <cell r="Z146">
            <v>1</v>
          </cell>
          <cell r="AB146">
            <v>1</v>
          </cell>
          <cell r="AC146">
            <v>1</v>
          </cell>
          <cell r="AG146">
            <v>1</v>
          </cell>
          <cell r="AI146">
            <v>1</v>
          </cell>
          <cell r="AJ146">
            <v>1</v>
          </cell>
          <cell r="AN146">
            <v>1</v>
          </cell>
          <cell r="AP146">
            <v>1</v>
          </cell>
          <cell r="AQ146">
            <v>1</v>
          </cell>
          <cell r="AU146">
            <v>1</v>
          </cell>
          <cell r="AW146">
            <v>1</v>
          </cell>
          <cell r="AY146">
            <v>1</v>
          </cell>
          <cell r="BC146">
            <v>0</v>
          </cell>
          <cell r="BD146">
            <v>6</v>
          </cell>
          <cell r="BE146">
            <v>5</v>
          </cell>
          <cell r="BF146">
            <v>1</v>
          </cell>
          <cell r="BG146">
            <v>0</v>
          </cell>
          <cell r="BH146">
            <v>0</v>
          </cell>
          <cell r="BI146">
            <v>5</v>
          </cell>
        </row>
        <row r="147">
          <cell r="C147" t="str">
            <v>Vũ Quang Trọng</v>
          </cell>
          <cell r="D147">
            <v>1150</v>
          </cell>
          <cell r="G147">
            <v>1</v>
          </cell>
          <cell r="H147">
            <v>1</v>
          </cell>
          <cell r="L147">
            <v>1</v>
          </cell>
          <cell r="N147">
            <v>1</v>
          </cell>
          <cell r="O147">
            <v>1</v>
          </cell>
          <cell r="S147">
            <v>1</v>
          </cell>
          <cell r="U147">
            <v>1</v>
          </cell>
          <cell r="V147">
            <v>1</v>
          </cell>
          <cell r="Z147">
            <v>1</v>
          </cell>
          <cell r="AB147">
            <v>1</v>
          </cell>
          <cell r="AC147">
            <v>1</v>
          </cell>
          <cell r="AG147">
            <v>1</v>
          </cell>
          <cell r="AI147">
            <v>1</v>
          </cell>
          <cell r="AJ147">
            <v>1</v>
          </cell>
          <cell r="AN147">
            <v>1</v>
          </cell>
          <cell r="AP147">
            <v>1</v>
          </cell>
          <cell r="AW147">
            <v>1</v>
          </cell>
          <cell r="AY147">
            <v>1</v>
          </cell>
          <cell r="BC147">
            <v>0</v>
          </cell>
          <cell r="BD147">
            <v>6</v>
          </cell>
          <cell r="BE147">
            <v>4</v>
          </cell>
          <cell r="BF147">
            <v>1</v>
          </cell>
          <cell r="BG147">
            <v>0</v>
          </cell>
          <cell r="BH147">
            <v>0</v>
          </cell>
          <cell r="BI147">
            <v>4</v>
          </cell>
        </row>
        <row r="148">
          <cell r="C148" t="str">
            <v>Nguyễn Thị Xuân Quỳnh</v>
          </cell>
          <cell r="D148">
            <v>1151</v>
          </cell>
          <cell r="N148">
            <v>1</v>
          </cell>
          <cell r="P148">
            <v>1</v>
          </cell>
          <cell r="U148">
            <v>1</v>
          </cell>
          <cell r="V148">
            <v>1</v>
          </cell>
          <cell r="Z148">
            <v>1</v>
          </cell>
          <cell r="AB148">
            <v>1</v>
          </cell>
          <cell r="AD148">
            <v>1</v>
          </cell>
          <cell r="AI148">
            <v>1</v>
          </cell>
          <cell r="AJ148">
            <v>1</v>
          </cell>
          <cell r="AN148">
            <v>1</v>
          </cell>
          <cell r="AP148">
            <v>1</v>
          </cell>
          <cell r="AW148">
            <v>1</v>
          </cell>
          <cell r="AY148">
            <v>1</v>
          </cell>
          <cell r="BC148">
            <v>0</v>
          </cell>
          <cell r="BD148">
            <v>6</v>
          </cell>
          <cell r="BE148">
            <v>2</v>
          </cell>
          <cell r="BF148">
            <v>3</v>
          </cell>
          <cell r="BG148">
            <v>0</v>
          </cell>
          <cell r="BH148">
            <v>0</v>
          </cell>
          <cell r="BI148">
            <v>2</v>
          </cell>
        </row>
        <row r="149">
          <cell r="C149" t="str">
            <v>Nguyễn Lê Đức</v>
          </cell>
          <cell r="D149">
            <v>1152</v>
          </cell>
          <cell r="N149">
            <v>1</v>
          </cell>
          <cell r="P149">
            <v>1</v>
          </cell>
          <cell r="U149">
            <v>1</v>
          </cell>
          <cell r="V149">
            <v>1</v>
          </cell>
          <cell r="Z149">
            <v>1</v>
          </cell>
          <cell r="AB149">
            <v>1</v>
          </cell>
          <cell r="AC149">
            <v>1</v>
          </cell>
          <cell r="AG149">
            <v>1</v>
          </cell>
          <cell r="AI149">
            <v>1</v>
          </cell>
          <cell r="AJ149">
            <v>1</v>
          </cell>
          <cell r="AN149">
            <v>1</v>
          </cell>
          <cell r="AP149">
            <v>1</v>
          </cell>
          <cell r="AW149">
            <v>1</v>
          </cell>
          <cell r="AY149">
            <v>1</v>
          </cell>
          <cell r="BC149">
            <v>0</v>
          </cell>
          <cell r="BD149">
            <v>6</v>
          </cell>
          <cell r="BE149">
            <v>3</v>
          </cell>
          <cell r="BF149">
            <v>2</v>
          </cell>
          <cell r="BG149">
            <v>0</v>
          </cell>
          <cell r="BH149">
            <v>0</v>
          </cell>
          <cell r="BI149">
            <v>3</v>
          </cell>
        </row>
        <row r="150">
          <cell r="C150" t="str">
            <v>Đoàn Vân Anh</v>
          </cell>
          <cell r="D150">
            <v>1153</v>
          </cell>
          <cell r="E150" t="str">
            <v>Trưởng bộ môn, BTCB</v>
          </cell>
          <cell r="F150">
            <v>1</v>
          </cell>
          <cell r="G150">
            <v>1</v>
          </cell>
          <cell r="H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S150">
            <v>1</v>
          </cell>
          <cell r="T150">
            <v>1</v>
          </cell>
          <cell r="U150">
            <v>1</v>
          </cell>
          <cell r="V150">
            <v>1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N150">
            <v>1</v>
          </cell>
          <cell r="AP150">
            <v>1</v>
          </cell>
          <cell r="AV150">
            <v>1</v>
          </cell>
          <cell r="AW150">
            <v>1</v>
          </cell>
          <cell r="AY150">
            <v>1</v>
          </cell>
          <cell r="BB150">
            <v>1</v>
          </cell>
          <cell r="BC150">
            <v>5</v>
          </cell>
          <cell r="BD150">
            <v>6</v>
          </cell>
          <cell r="BE150">
            <v>4</v>
          </cell>
          <cell r="BF150">
            <v>1</v>
          </cell>
          <cell r="BG150">
            <v>0</v>
          </cell>
          <cell r="BH150">
            <v>0</v>
          </cell>
          <cell r="BI150">
            <v>5</v>
          </cell>
        </row>
        <row r="151">
          <cell r="C151" t="str">
            <v>Nguyễn Thị Thanh Phương</v>
          </cell>
          <cell r="D151">
            <v>1155</v>
          </cell>
          <cell r="E151" t="str">
            <v>Phó Viện Trưởng</v>
          </cell>
          <cell r="F151">
            <v>1</v>
          </cell>
          <cell r="G151">
            <v>1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S151">
            <v>1</v>
          </cell>
          <cell r="U151">
            <v>1</v>
          </cell>
          <cell r="V151">
            <v>1</v>
          </cell>
          <cell r="Z151">
            <v>1</v>
          </cell>
          <cell r="AB151">
            <v>1</v>
          </cell>
          <cell r="AC151">
            <v>1</v>
          </cell>
          <cell r="AG151">
            <v>1</v>
          </cell>
          <cell r="AI151">
            <v>1</v>
          </cell>
          <cell r="AJ151">
            <v>1</v>
          </cell>
          <cell r="AN151">
            <v>1</v>
          </cell>
          <cell r="AP151">
            <v>1</v>
          </cell>
          <cell r="AQ151">
            <v>1</v>
          </cell>
          <cell r="AU151">
            <v>1</v>
          </cell>
          <cell r="AW151">
            <v>1</v>
          </cell>
          <cell r="AY151">
            <v>1</v>
          </cell>
          <cell r="BC151">
            <v>1</v>
          </cell>
          <cell r="BD151">
            <v>6</v>
          </cell>
          <cell r="BE151">
            <v>5</v>
          </cell>
          <cell r="BF151">
            <v>1</v>
          </cell>
          <cell r="BG151">
            <v>0</v>
          </cell>
          <cell r="BH151">
            <v>0</v>
          </cell>
          <cell r="BI151">
            <v>5</v>
          </cell>
        </row>
        <row r="152">
          <cell r="C152" t="str">
            <v>Trần Hải Long</v>
          </cell>
          <cell r="D152">
            <v>1156</v>
          </cell>
          <cell r="G152">
            <v>1</v>
          </cell>
          <cell r="H152">
            <v>1</v>
          </cell>
          <cell r="L152">
            <v>1</v>
          </cell>
          <cell r="N152">
            <v>1</v>
          </cell>
          <cell r="O152">
            <v>1</v>
          </cell>
          <cell r="S152">
            <v>1</v>
          </cell>
          <cell r="U152">
            <v>1</v>
          </cell>
          <cell r="V152">
            <v>1</v>
          </cell>
          <cell r="Z152">
            <v>1</v>
          </cell>
          <cell r="AB152">
            <v>1</v>
          </cell>
          <cell r="AC152">
            <v>1</v>
          </cell>
          <cell r="AG152">
            <v>1</v>
          </cell>
          <cell r="AI152">
            <v>1</v>
          </cell>
          <cell r="AJ152">
            <v>1</v>
          </cell>
          <cell r="AN152">
            <v>1</v>
          </cell>
          <cell r="AP152">
            <v>1</v>
          </cell>
          <cell r="AW152">
            <v>1</v>
          </cell>
          <cell r="AY152">
            <v>1</v>
          </cell>
          <cell r="BC152">
            <v>0</v>
          </cell>
          <cell r="BD152">
            <v>6</v>
          </cell>
          <cell r="BE152">
            <v>4</v>
          </cell>
          <cell r="BF152">
            <v>1</v>
          </cell>
          <cell r="BG152">
            <v>0</v>
          </cell>
          <cell r="BH152">
            <v>0</v>
          </cell>
          <cell r="BI152">
            <v>4</v>
          </cell>
        </row>
        <row r="153">
          <cell r="C153" t="str">
            <v>Phạm Thanh Hương</v>
          </cell>
          <cell r="D153">
            <v>1157</v>
          </cell>
          <cell r="E153" t="str">
            <v>Phó Trưởng bộ môn</v>
          </cell>
          <cell r="G153">
            <v>1</v>
          </cell>
          <cell r="H153">
            <v>1</v>
          </cell>
          <cell r="L153">
            <v>1</v>
          </cell>
          <cell r="N153">
            <v>1</v>
          </cell>
          <cell r="O153">
            <v>1</v>
          </cell>
          <cell r="S153">
            <v>1</v>
          </cell>
          <cell r="U153">
            <v>1</v>
          </cell>
          <cell r="V153">
            <v>1</v>
          </cell>
          <cell r="Z153">
            <v>1</v>
          </cell>
          <cell r="AB153">
            <v>1</v>
          </cell>
          <cell r="AC153">
            <v>1</v>
          </cell>
          <cell r="AG153">
            <v>1</v>
          </cell>
          <cell r="AI153">
            <v>1</v>
          </cell>
          <cell r="AJ153">
            <v>1</v>
          </cell>
          <cell r="AN153">
            <v>1</v>
          </cell>
          <cell r="AP153">
            <v>1</v>
          </cell>
          <cell r="AQ153">
            <v>1</v>
          </cell>
          <cell r="AU153">
            <v>1</v>
          </cell>
          <cell r="AW153">
            <v>1</v>
          </cell>
          <cell r="AX153">
            <v>1</v>
          </cell>
          <cell r="BB153">
            <v>1</v>
          </cell>
          <cell r="BC153">
            <v>0</v>
          </cell>
          <cell r="BD153">
            <v>6</v>
          </cell>
          <cell r="BE153">
            <v>6</v>
          </cell>
          <cell r="BF153">
            <v>0</v>
          </cell>
          <cell r="BG153">
            <v>0</v>
          </cell>
          <cell r="BH153">
            <v>0</v>
          </cell>
          <cell r="BI153">
            <v>6</v>
          </cell>
        </row>
        <row r="154">
          <cell r="C154" t="str">
            <v>Nguyễn Hồng Nga</v>
          </cell>
          <cell r="D154">
            <v>1159</v>
          </cell>
          <cell r="G154">
            <v>1</v>
          </cell>
          <cell r="H154">
            <v>1</v>
          </cell>
          <cell r="L154">
            <v>1</v>
          </cell>
          <cell r="N154">
            <v>1</v>
          </cell>
          <cell r="O154">
            <v>1</v>
          </cell>
          <cell r="S154">
            <v>1</v>
          </cell>
          <cell r="U154">
            <v>1</v>
          </cell>
          <cell r="V154">
            <v>1</v>
          </cell>
          <cell r="Z154">
            <v>1</v>
          </cell>
          <cell r="AB154">
            <v>1</v>
          </cell>
          <cell r="AC154">
            <v>1</v>
          </cell>
          <cell r="AG154">
            <v>1</v>
          </cell>
          <cell r="AI154">
            <v>1</v>
          </cell>
          <cell r="AJ154">
            <v>1</v>
          </cell>
          <cell r="AN154">
            <v>1</v>
          </cell>
          <cell r="AP154">
            <v>1</v>
          </cell>
          <cell r="AW154">
            <v>1</v>
          </cell>
          <cell r="AY154">
            <v>1</v>
          </cell>
          <cell r="BC154">
            <v>0</v>
          </cell>
          <cell r="BD154">
            <v>6</v>
          </cell>
          <cell r="BE154">
            <v>4</v>
          </cell>
          <cell r="BF154">
            <v>1</v>
          </cell>
          <cell r="BG154">
            <v>0</v>
          </cell>
          <cell r="BH154">
            <v>0</v>
          </cell>
          <cell r="BI154">
            <v>4</v>
          </cell>
        </row>
        <row r="155">
          <cell r="C155" t="str">
            <v>Trần Mạnh Tường</v>
          </cell>
          <cell r="D155">
            <v>1160</v>
          </cell>
          <cell r="G155">
            <v>1</v>
          </cell>
          <cell r="H155">
            <v>1</v>
          </cell>
          <cell r="L155">
            <v>1</v>
          </cell>
          <cell r="N155">
            <v>1</v>
          </cell>
          <cell r="O155">
            <v>1</v>
          </cell>
          <cell r="S155">
            <v>1</v>
          </cell>
          <cell r="U155">
            <v>1</v>
          </cell>
          <cell r="V155">
            <v>1</v>
          </cell>
          <cell r="Z155">
            <v>1</v>
          </cell>
          <cell r="AB155">
            <v>1</v>
          </cell>
          <cell r="AC155">
            <v>1</v>
          </cell>
          <cell r="AG155">
            <v>1</v>
          </cell>
          <cell r="AI155">
            <v>1</v>
          </cell>
          <cell r="AJ155">
            <v>1</v>
          </cell>
          <cell r="AN155">
            <v>1</v>
          </cell>
          <cell r="AP155">
            <v>1</v>
          </cell>
          <cell r="AW155">
            <v>1</v>
          </cell>
          <cell r="AY155">
            <v>1</v>
          </cell>
          <cell r="BC155">
            <v>0</v>
          </cell>
          <cell r="BD155">
            <v>6</v>
          </cell>
          <cell r="BE155">
            <v>4</v>
          </cell>
          <cell r="BF155">
            <v>1</v>
          </cell>
          <cell r="BG155">
            <v>0</v>
          </cell>
          <cell r="BH155">
            <v>0</v>
          </cell>
          <cell r="BI155">
            <v>4</v>
          </cell>
        </row>
        <row r="156">
          <cell r="C156" t="str">
            <v>Phạm Thị Mai Anh</v>
          </cell>
          <cell r="D156">
            <v>1161</v>
          </cell>
          <cell r="G156">
            <v>1</v>
          </cell>
          <cell r="H156">
            <v>1</v>
          </cell>
          <cell r="L156">
            <v>1</v>
          </cell>
          <cell r="N156">
            <v>1</v>
          </cell>
          <cell r="O156">
            <v>1</v>
          </cell>
          <cell r="S156">
            <v>1</v>
          </cell>
          <cell r="U156">
            <v>1</v>
          </cell>
          <cell r="W156">
            <v>1</v>
          </cell>
          <cell r="AB156">
            <v>1</v>
          </cell>
          <cell r="AD156">
            <v>1</v>
          </cell>
          <cell r="AI156">
            <v>1</v>
          </cell>
          <cell r="AJ156">
            <v>1</v>
          </cell>
          <cell r="AN156">
            <v>1</v>
          </cell>
          <cell r="AP156">
            <v>1</v>
          </cell>
          <cell r="AW156">
            <v>1</v>
          </cell>
          <cell r="AY156">
            <v>1</v>
          </cell>
          <cell r="BC156">
            <v>0</v>
          </cell>
          <cell r="BD156">
            <v>6</v>
          </cell>
          <cell r="BE156">
            <v>2</v>
          </cell>
          <cell r="BF156">
            <v>3</v>
          </cell>
          <cell r="BG156">
            <v>0</v>
          </cell>
          <cell r="BH156">
            <v>0</v>
          </cell>
          <cell r="BI156">
            <v>2</v>
          </cell>
        </row>
        <row r="157">
          <cell r="C157" t="str">
            <v>Vũ Lê Đình Hoàng</v>
          </cell>
          <cell r="D157">
            <v>1162</v>
          </cell>
          <cell r="W157">
            <v>1</v>
          </cell>
          <cell r="AB157">
            <v>1</v>
          </cell>
          <cell r="AD157">
            <v>1</v>
          </cell>
          <cell r="AI157">
            <v>1</v>
          </cell>
          <cell r="AJ157">
            <v>1</v>
          </cell>
          <cell r="AN157">
            <v>1</v>
          </cell>
          <cell r="AP157">
            <v>1</v>
          </cell>
          <cell r="AQ157">
            <v>1</v>
          </cell>
          <cell r="AU157">
            <v>1</v>
          </cell>
          <cell r="AW157">
            <v>1</v>
          </cell>
          <cell r="AY157">
            <v>1</v>
          </cell>
          <cell r="BC157">
            <v>0</v>
          </cell>
          <cell r="BD157">
            <v>4</v>
          </cell>
          <cell r="BE157">
            <v>2</v>
          </cell>
          <cell r="BF157">
            <v>3</v>
          </cell>
          <cell r="BG157">
            <v>0</v>
          </cell>
          <cell r="BH157">
            <v>0</v>
          </cell>
          <cell r="BI157">
            <v>2</v>
          </cell>
        </row>
        <row r="158">
          <cell r="C158" t="str">
            <v>Trần Thị Thùy</v>
          </cell>
          <cell r="D158">
            <v>1164</v>
          </cell>
          <cell r="AI158">
            <v>1</v>
          </cell>
          <cell r="AK158">
            <v>1</v>
          </cell>
          <cell r="AP158">
            <v>1</v>
          </cell>
          <cell r="AW158">
            <v>1</v>
          </cell>
          <cell r="AY158">
            <v>1</v>
          </cell>
          <cell r="BC158">
            <v>0</v>
          </cell>
          <cell r="BD158">
            <v>3</v>
          </cell>
          <cell r="BE158">
            <v>0</v>
          </cell>
          <cell r="BF158">
            <v>2</v>
          </cell>
          <cell r="BG158">
            <v>0</v>
          </cell>
          <cell r="BH158">
            <v>0</v>
          </cell>
          <cell r="BI158">
            <v>0</v>
          </cell>
        </row>
        <row r="159">
          <cell r="C159" t="str">
            <v>Đỗ Minh Thành</v>
          </cell>
          <cell r="D159">
            <v>1165</v>
          </cell>
          <cell r="F159">
            <v>1</v>
          </cell>
          <cell r="G159">
            <v>1</v>
          </cell>
          <cell r="H159">
            <v>1</v>
          </cell>
          <cell r="L159">
            <v>1</v>
          </cell>
          <cell r="M159">
            <v>1</v>
          </cell>
          <cell r="N159">
            <v>1</v>
          </cell>
          <cell r="O159">
            <v>1</v>
          </cell>
          <cell r="S159">
            <v>1</v>
          </cell>
          <cell r="T159">
            <v>1</v>
          </cell>
          <cell r="U159">
            <v>1</v>
          </cell>
          <cell r="V159">
            <v>1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H159">
            <v>1</v>
          </cell>
          <cell r="AI159">
            <v>1</v>
          </cell>
          <cell r="AJ159">
            <v>1</v>
          </cell>
          <cell r="AP159">
            <v>1</v>
          </cell>
          <cell r="AW159">
            <v>1</v>
          </cell>
          <cell r="AY159">
            <v>1</v>
          </cell>
          <cell r="BC159">
            <v>4</v>
          </cell>
          <cell r="BD159">
            <v>6</v>
          </cell>
          <cell r="BE159">
            <v>4</v>
          </cell>
          <cell r="BF159">
            <v>1</v>
          </cell>
          <cell r="BG159">
            <v>0</v>
          </cell>
          <cell r="BH159">
            <v>0</v>
          </cell>
          <cell r="BI159">
            <v>2</v>
          </cell>
        </row>
        <row r="160">
          <cell r="C160" t="str">
            <v>Lê Thị Thanh Hải</v>
          </cell>
          <cell r="D160">
            <v>1166</v>
          </cell>
          <cell r="G160">
            <v>1</v>
          </cell>
          <cell r="H160">
            <v>1</v>
          </cell>
          <cell r="L160">
            <v>1</v>
          </cell>
          <cell r="N160">
            <v>1</v>
          </cell>
          <cell r="O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Z160">
            <v>1</v>
          </cell>
          <cell r="AB160">
            <v>1</v>
          </cell>
          <cell r="AC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N160">
            <v>1</v>
          </cell>
          <cell r="AP160">
            <v>1</v>
          </cell>
          <cell r="AV160">
            <v>1</v>
          </cell>
          <cell r="AW160">
            <v>1</v>
          </cell>
          <cell r="AX160">
            <v>1</v>
          </cell>
          <cell r="BB160">
            <v>1</v>
          </cell>
          <cell r="BC160">
            <v>3</v>
          </cell>
          <cell r="BD160">
            <v>6</v>
          </cell>
          <cell r="BE160">
            <v>5</v>
          </cell>
          <cell r="BF160">
            <v>0</v>
          </cell>
          <cell r="BG160">
            <v>0</v>
          </cell>
          <cell r="BH160">
            <v>0</v>
          </cell>
          <cell r="BI160">
            <v>5</v>
          </cell>
        </row>
        <row r="161">
          <cell r="C161" t="str">
            <v>Nguyễn Duy Đạt</v>
          </cell>
          <cell r="D161">
            <v>1167</v>
          </cell>
          <cell r="E161" t="str">
            <v>Trưởng khoa, BTCB</v>
          </cell>
          <cell r="G161">
            <v>1</v>
          </cell>
          <cell r="H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S161">
            <v>1</v>
          </cell>
          <cell r="U161">
            <v>1</v>
          </cell>
          <cell r="V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U161">
            <v>1</v>
          </cell>
          <cell r="AV161">
            <v>1</v>
          </cell>
          <cell r="AW161">
            <v>1</v>
          </cell>
          <cell r="AY161">
            <v>1</v>
          </cell>
          <cell r="BB161">
            <v>1</v>
          </cell>
          <cell r="BC161">
            <v>5</v>
          </cell>
          <cell r="BD161">
            <v>6</v>
          </cell>
          <cell r="BE161">
            <v>5</v>
          </cell>
          <cell r="BF161">
            <v>1</v>
          </cell>
          <cell r="BG161">
            <v>0</v>
          </cell>
          <cell r="BH161">
            <v>0</v>
          </cell>
          <cell r="BI161">
            <v>6</v>
          </cell>
        </row>
        <row r="162">
          <cell r="C162" t="str">
            <v>Nguyễn Bích Thủy</v>
          </cell>
          <cell r="D162">
            <v>1168</v>
          </cell>
          <cell r="E162" t="str">
            <v>Trưởng bộ môn</v>
          </cell>
          <cell r="F162">
            <v>1</v>
          </cell>
          <cell r="G162">
            <v>1</v>
          </cell>
          <cell r="H162">
            <v>1</v>
          </cell>
          <cell r="L162">
            <v>1</v>
          </cell>
          <cell r="N162">
            <v>1</v>
          </cell>
          <cell r="O162">
            <v>1</v>
          </cell>
          <cell r="S162">
            <v>1</v>
          </cell>
          <cell r="T162">
            <v>1</v>
          </cell>
          <cell r="U162">
            <v>1</v>
          </cell>
          <cell r="V162">
            <v>1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N162">
            <v>1</v>
          </cell>
          <cell r="AO162">
            <v>1</v>
          </cell>
          <cell r="AP162">
            <v>1</v>
          </cell>
          <cell r="AQ162">
            <v>1</v>
          </cell>
          <cell r="AU162">
            <v>1</v>
          </cell>
          <cell r="AV162">
            <v>1</v>
          </cell>
          <cell r="AW162">
            <v>1</v>
          </cell>
          <cell r="AY162">
            <v>1</v>
          </cell>
          <cell r="BB162">
            <v>1</v>
          </cell>
          <cell r="BC162">
            <v>5</v>
          </cell>
          <cell r="BD162">
            <v>6</v>
          </cell>
          <cell r="BE162">
            <v>5</v>
          </cell>
          <cell r="BF162">
            <v>1</v>
          </cell>
          <cell r="BG162">
            <v>0</v>
          </cell>
          <cell r="BH162">
            <v>0</v>
          </cell>
          <cell r="BI162">
            <v>6</v>
          </cell>
        </row>
        <row r="163">
          <cell r="C163" t="str">
            <v>Nguyễn Thuỳ Dương</v>
          </cell>
          <cell r="D163">
            <v>1169</v>
          </cell>
          <cell r="G163">
            <v>1</v>
          </cell>
          <cell r="I163">
            <v>1</v>
          </cell>
          <cell r="N163">
            <v>1</v>
          </cell>
          <cell r="P163">
            <v>1</v>
          </cell>
          <cell r="U163">
            <v>1</v>
          </cell>
          <cell r="V163">
            <v>1</v>
          </cell>
          <cell r="Z163">
            <v>1</v>
          </cell>
          <cell r="AB163">
            <v>1</v>
          </cell>
          <cell r="AC163">
            <v>1</v>
          </cell>
          <cell r="AG163">
            <v>1</v>
          </cell>
          <cell r="AI163">
            <v>1</v>
          </cell>
          <cell r="AJ163">
            <v>1</v>
          </cell>
          <cell r="AN163">
            <v>1</v>
          </cell>
          <cell r="AP163">
            <v>1</v>
          </cell>
          <cell r="AQ163">
            <v>1</v>
          </cell>
          <cell r="AU163">
            <v>1</v>
          </cell>
          <cell r="AW163">
            <v>1</v>
          </cell>
          <cell r="AY163">
            <v>1</v>
          </cell>
          <cell r="BC163">
            <v>0</v>
          </cell>
          <cell r="BD163">
            <v>6</v>
          </cell>
          <cell r="BE163">
            <v>4</v>
          </cell>
          <cell r="BF163">
            <v>2</v>
          </cell>
          <cell r="BG163">
            <v>0</v>
          </cell>
          <cell r="BH163">
            <v>0</v>
          </cell>
          <cell r="BI163">
            <v>4</v>
          </cell>
        </row>
        <row r="164">
          <cell r="C164" t="str">
            <v>Phan Thị Thu Giang</v>
          </cell>
          <cell r="D164">
            <v>1170</v>
          </cell>
          <cell r="G164">
            <v>1</v>
          </cell>
          <cell r="I164">
            <v>1</v>
          </cell>
          <cell r="N164">
            <v>1</v>
          </cell>
          <cell r="P164">
            <v>1</v>
          </cell>
          <cell r="U164">
            <v>1</v>
          </cell>
          <cell r="W164">
            <v>1</v>
          </cell>
          <cell r="AB164">
            <v>1</v>
          </cell>
          <cell r="AC164">
            <v>1</v>
          </cell>
          <cell r="AG164">
            <v>1</v>
          </cell>
          <cell r="AI164">
            <v>1</v>
          </cell>
          <cell r="AK164">
            <v>1</v>
          </cell>
          <cell r="AP164">
            <v>1</v>
          </cell>
          <cell r="AW164">
            <v>1</v>
          </cell>
          <cell r="AY164">
            <v>1</v>
          </cell>
          <cell r="BC164">
            <v>0</v>
          </cell>
          <cell r="BD164">
            <v>6</v>
          </cell>
          <cell r="BE164">
            <v>1</v>
          </cell>
          <cell r="BF164">
            <v>4</v>
          </cell>
          <cell r="BG164">
            <v>0</v>
          </cell>
          <cell r="BH164">
            <v>0</v>
          </cell>
          <cell r="BI164">
            <v>1</v>
          </cell>
        </row>
        <row r="165">
          <cell r="C165" t="str">
            <v>Đặng Thị Diệu Thúy</v>
          </cell>
          <cell r="J165">
            <v>1</v>
          </cell>
          <cell r="N165">
            <v>1</v>
          </cell>
          <cell r="P165">
            <v>1</v>
          </cell>
          <cell r="X165">
            <v>1</v>
          </cell>
          <cell r="AE165">
            <v>1</v>
          </cell>
          <cell r="AI165">
            <v>1</v>
          </cell>
          <cell r="AK165">
            <v>1</v>
          </cell>
          <cell r="BC165">
            <v>0</v>
          </cell>
          <cell r="BD165">
            <v>2</v>
          </cell>
          <cell r="BE165">
            <v>0</v>
          </cell>
          <cell r="BF165">
            <v>2</v>
          </cell>
          <cell r="BG165">
            <v>2</v>
          </cell>
          <cell r="BH165">
            <v>0</v>
          </cell>
          <cell r="BI165">
            <v>0</v>
          </cell>
        </row>
        <row r="166">
          <cell r="C166" t="str">
            <v>Lê Quốc Cường</v>
          </cell>
          <cell r="D166">
            <v>1172</v>
          </cell>
          <cell r="E166" t="str">
            <v>CUV, BTCĐ</v>
          </cell>
          <cell r="G166">
            <v>1</v>
          </cell>
          <cell r="I166">
            <v>1</v>
          </cell>
          <cell r="N166">
            <v>1</v>
          </cell>
          <cell r="O166">
            <v>1</v>
          </cell>
          <cell r="S166">
            <v>1</v>
          </cell>
          <cell r="U166">
            <v>1</v>
          </cell>
          <cell r="W166">
            <v>1</v>
          </cell>
          <cell r="AB166">
            <v>1</v>
          </cell>
          <cell r="AD166">
            <v>1</v>
          </cell>
          <cell r="AL166">
            <v>1</v>
          </cell>
          <cell r="AP166">
            <v>1</v>
          </cell>
          <cell r="AW166">
            <v>1</v>
          </cell>
          <cell r="AX166">
            <v>1</v>
          </cell>
          <cell r="BB166">
            <v>1</v>
          </cell>
          <cell r="BC166">
            <v>0</v>
          </cell>
          <cell r="BD166">
            <v>5</v>
          </cell>
          <cell r="BE166">
            <v>2</v>
          </cell>
          <cell r="BF166">
            <v>2</v>
          </cell>
          <cell r="BG166">
            <v>1</v>
          </cell>
          <cell r="BH166">
            <v>0</v>
          </cell>
          <cell r="BI166">
            <v>2</v>
          </cell>
        </row>
        <row r="167">
          <cell r="C167" t="str">
            <v>Nguyễn Ngọc Diệp</v>
          </cell>
          <cell r="D167">
            <v>1173</v>
          </cell>
          <cell r="AB167">
            <v>1</v>
          </cell>
          <cell r="AD167">
            <v>1</v>
          </cell>
          <cell r="AI167">
            <v>1</v>
          </cell>
          <cell r="AK167">
            <v>1</v>
          </cell>
          <cell r="AP167">
            <v>1</v>
          </cell>
          <cell r="AW167">
            <v>1</v>
          </cell>
          <cell r="AY167">
            <v>1</v>
          </cell>
          <cell r="BC167">
            <v>0</v>
          </cell>
          <cell r="BD167">
            <v>4</v>
          </cell>
          <cell r="BE167">
            <v>0</v>
          </cell>
          <cell r="BF167">
            <v>3</v>
          </cell>
          <cell r="BG167">
            <v>0</v>
          </cell>
          <cell r="BH167">
            <v>0</v>
          </cell>
          <cell r="BI167">
            <v>0</v>
          </cell>
        </row>
        <row r="168">
          <cell r="C168" t="str">
            <v>Lê Hải Hà</v>
          </cell>
          <cell r="D168">
            <v>1174</v>
          </cell>
          <cell r="AB168">
            <v>1</v>
          </cell>
          <cell r="AD168">
            <v>1</v>
          </cell>
          <cell r="AI168">
            <v>1</v>
          </cell>
          <cell r="AJ168">
            <v>1</v>
          </cell>
          <cell r="AN168">
            <v>1</v>
          </cell>
          <cell r="AP168">
            <v>1</v>
          </cell>
          <cell r="AW168">
            <v>1</v>
          </cell>
          <cell r="AY168">
            <v>1</v>
          </cell>
          <cell r="BC168">
            <v>0</v>
          </cell>
          <cell r="BD168">
            <v>4</v>
          </cell>
          <cell r="BE168">
            <v>1</v>
          </cell>
          <cell r="BF168">
            <v>2</v>
          </cell>
          <cell r="BG168">
            <v>0</v>
          </cell>
          <cell r="BH168">
            <v>0</v>
          </cell>
          <cell r="BI168">
            <v>1</v>
          </cell>
        </row>
        <row r="169">
          <cell r="C169" t="str">
            <v>Nguyễn Thị Thanh</v>
          </cell>
          <cell r="D169">
            <v>1175</v>
          </cell>
          <cell r="AB169">
            <v>1</v>
          </cell>
          <cell r="AD169">
            <v>1</v>
          </cell>
          <cell r="AI169">
            <v>1</v>
          </cell>
          <cell r="AK169">
            <v>1</v>
          </cell>
          <cell r="AP169">
            <v>1</v>
          </cell>
          <cell r="AQ169">
            <v>1</v>
          </cell>
          <cell r="AU169">
            <v>1</v>
          </cell>
          <cell r="AW169">
            <v>1</v>
          </cell>
          <cell r="AY169">
            <v>1</v>
          </cell>
          <cell r="BC169">
            <v>0</v>
          </cell>
          <cell r="BD169">
            <v>4</v>
          </cell>
          <cell r="BE169">
            <v>1</v>
          </cell>
          <cell r="BF169">
            <v>3</v>
          </cell>
          <cell r="BG169">
            <v>0</v>
          </cell>
          <cell r="BH169">
            <v>0</v>
          </cell>
          <cell r="BI169">
            <v>1</v>
          </cell>
        </row>
        <row r="170">
          <cell r="C170" t="str">
            <v>Đặng Xuân Huy</v>
          </cell>
          <cell r="D170">
            <v>1176</v>
          </cell>
          <cell r="E170" t="str">
            <v>THNV Phó Trưởng BM</v>
          </cell>
          <cell r="AK170">
            <v>1</v>
          </cell>
          <cell r="AP170">
            <v>1</v>
          </cell>
          <cell r="AQ170">
            <v>1</v>
          </cell>
          <cell r="AU170">
            <v>1</v>
          </cell>
          <cell r="AV170">
            <v>1</v>
          </cell>
          <cell r="AW170">
            <v>1</v>
          </cell>
          <cell r="AY170">
            <v>1</v>
          </cell>
          <cell r="BB170">
            <v>1</v>
          </cell>
          <cell r="BC170">
            <v>1</v>
          </cell>
          <cell r="BD170">
            <v>2</v>
          </cell>
          <cell r="BE170">
            <v>1</v>
          </cell>
          <cell r="BF170">
            <v>2</v>
          </cell>
          <cell r="BG170">
            <v>0</v>
          </cell>
          <cell r="BH170">
            <v>0</v>
          </cell>
          <cell r="BI170">
            <v>2</v>
          </cell>
        </row>
        <row r="171">
          <cell r="C171" t="str">
            <v>Hà Thị Quỳnh Nga</v>
          </cell>
          <cell r="D171">
            <v>1177</v>
          </cell>
          <cell r="G171">
            <v>1</v>
          </cell>
          <cell r="I171">
            <v>1</v>
          </cell>
          <cell r="N171">
            <v>1</v>
          </cell>
          <cell r="P171">
            <v>1</v>
          </cell>
          <cell r="U171">
            <v>1</v>
          </cell>
          <cell r="V171">
            <v>1</v>
          </cell>
          <cell r="Z171">
            <v>1</v>
          </cell>
          <cell r="AB171">
            <v>1</v>
          </cell>
          <cell r="AD171">
            <v>1</v>
          </cell>
          <cell r="AI171">
            <v>1</v>
          </cell>
          <cell r="AJ171">
            <v>1</v>
          </cell>
          <cell r="AN171">
            <v>1</v>
          </cell>
          <cell r="AP171">
            <v>1</v>
          </cell>
          <cell r="AQ171">
            <v>1</v>
          </cell>
          <cell r="AU171">
            <v>1</v>
          </cell>
          <cell r="AW171">
            <v>1</v>
          </cell>
          <cell r="AY171">
            <v>1</v>
          </cell>
          <cell r="BC171">
            <v>0</v>
          </cell>
          <cell r="BD171">
            <v>6</v>
          </cell>
          <cell r="BE171">
            <v>3</v>
          </cell>
          <cell r="BF171">
            <v>3</v>
          </cell>
          <cell r="BG171">
            <v>0</v>
          </cell>
          <cell r="BH171">
            <v>0</v>
          </cell>
          <cell r="BI171">
            <v>3</v>
          </cell>
        </row>
        <row r="172">
          <cell r="C172" t="str">
            <v>Lê Thị Việt Nga</v>
          </cell>
          <cell r="D172">
            <v>1179</v>
          </cell>
          <cell r="E172" t="str">
            <v>Phó Trưởng khoa, CTCĐ</v>
          </cell>
          <cell r="F172">
            <v>1</v>
          </cell>
          <cell r="G172">
            <v>1</v>
          </cell>
          <cell r="H172">
            <v>1</v>
          </cell>
          <cell r="L172">
            <v>1</v>
          </cell>
          <cell r="N172">
            <v>1</v>
          </cell>
          <cell r="O172">
            <v>1</v>
          </cell>
          <cell r="S172">
            <v>1</v>
          </cell>
          <cell r="U172">
            <v>1</v>
          </cell>
          <cell r="V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U172">
            <v>1</v>
          </cell>
          <cell r="AV172">
            <v>1</v>
          </cell>
          <cell r="AW172">
            <v>1</v>
          </cell>
          <cell r="AY172">
            <v>1</v>
          </cell>
          <cell r="BB172">
            <v>1</v>
          </cell>
          <cell r="BC172">
            <v>4</v>
          </cell>
          <cell r="BD172">
            <v>6</v>
          </cell>
          <cell r="BE172">
            <v>5</v>
          </cell>
          <cell r="BF172">
            <v>1</v>
          </cell>
          <cell r="BG172">
            <v>0</v>
          </cell>
          <cell r="BH172">
            <v>0</v>
          </cell>
          <cell r="BI172">
            <v>6</v>
          </cell>
        </row>
        <row r="173">
          <cell r="C173" t="str">
            <v>Mai Thanh Huyền</v>
          </cell>
          <cell r="D173">
            <v>1180</v>
          </cell>
          <cell r="E173" t="str">
            <v>THNV Trưởng bộ môn</v>
          </cell>
          <cell r="G173">
            <v>1</v>
          </cell>
          <cell r="H173">
            <v>1</v>
          </cell>
          <cell r="L173">
            <v>1</v>
          </cell>
          <cell r="N173">
            <v>1</v>
          </cell>
          <cell r="P173">
            <v>1</v>
          </cell>
          <cell r="U173">
            <v>1</v>
          </cell>
          <cell r="W173">
            <v>1</v>
          </cell>
          <cell r="AE173">
            <v>1</v>
          </cell>
          <cell r="AI173">
            <v>1</v>
          </cell>
          <cell r="AJ173">
            <v>1</v>
          </cell>
          <cell r="AN173">
            <v>1</v>
          </cell>
          <cell r="AP173">
            <v>1</v>
          </cell>
          <cell r="AW173">
            <v>1</v>
          </cell>
          <cell r="AY173">
            <v>1</v>
          </cell>
          <cell r="BC173">
            <v>0</v>
          </cell>
          <cell r="BD173">
            <v>5</v>
          </cell>
          <cell r="BE173">
            <v>1</v>
          </cell>
          <cell r="BF173">
            <v>3</v>
          </cell>
          <cell r="BG173">
            <v>1</v>
          </cell>
          <cell r="BH173">
            <v>0</v>
          </cell>
          <cell r="BI173">
            <v>1</v>
          </cell>
        </row>
        <row r="174">
          <cell r="C174" t="str">
            <v>Trương Quang Minh</v>
          </cell>
          <cell r="D174">
            <v>1182</v>
          </cell>
          <cell r="G174">
            <v>1</v>
          </cell>
          <cell r="I174">
            <v>1</v>
          </cell>
          <cell r="N174">
            <v>1</v>
          </cell>
          <cell r="P174">
            <v>1</v>
          </cell>
          <cell r="U174">
            <v>1</v>
          </cell>
          <cell r="W174">
            <v>1</v>
          </cell>
          <cell r="AE174">
            <v>1</v>
          </cell>
          <cell r="AI174">
            <v>1</v>
          </cell>
          <cell r="AJ174">
            <v>1</v>
          </cell>
          <cell r="AN174">
            <v>1</v>
          </cell>
          <cell r="AW174">
            <v>1</v>
          </cell>
          <cell r="AY174">
            <v>1</v>
          </cell>
          <cell r="BC174">
            <v>0</v>
          </cell>
          <cell r="BD174">
            <v>4</v>
          </cell>
          <cell r="BE174">
            <v>1</v>
          </cell>
          <cell r="BF174">
            <v>3</v>
          </cell>
          <cell r="BG174">
            <v>1</v>
          </cell>
          <cell r="BH174">
            <v>0</v>
          </cell>
          <cell r="BI174">
            <v>1</v>
          </cell>
        </row>
        <row r="175">
          <cell r="C175" t="str">
            <v xml:space="preserve">Nguyễn Vi Lê </v>
          </cell>
          <cell r="D175">
            <v>1183</v>
          </cell>
          <cell r="G175">
            <v>1</v>
          </cell>
          <cell r="H175">
            <v>1</v>
          </cell>
          <cell r="L175">
            <v>1</v>
          </cell>
          <cell r="N175">
            <v>1</v>
          </cell>
          <cell r="O175">
            <v>1</v>
          </cell>
          <cell r="S175">
            <v>1</v>
          </cell>
          <cell r="U175">
            <v>1</v>
          </cell>
          <cell r="W175">
            <v>1</v>
          </cell>
          <cell r="AB175">
            <v>1</v>
          </cell>
          <cell r="AD175">
            <v>1</v>
          </cell>
          <cell r="AI175">
            <v>1</v>
          </cell>
          <cell r="AK175">
            <v>1</v>
          </cell>
          <cell r="AW175">
            <v>1</v>
          </cell>
          <cell r="AY175">
            <v>1</v>
          </cell>
          <cell r="BC175">
            <v>0</v>
          </cell>
          <cell r="BD175">
            <v>5</v>
          </cell>
          <cell r="BE175">
            <v>1</v>
          </cell>
          <cell r="BF175">
            <v>4</v>
          </cell>
          <cell r="BG175">
            <v>0</v>
          </cell>
          <cell r="BH175">
            <v>0</v>
          </cell>
          <cell r="BI175">
            <v>1</v>
          </cell>
        </row>
        <row r="176">
          <cell r="C176" t="str">
            <v>Vũ Anh Tuấn</v>
          </cell>
          <cell r="D176">
            <v>1184</v>
          </cell>
          <cell r="G176">
            <v>1</v>
          </cell>
          <cell r="H176">
            <v>1</v>
          </cell>
          <cell r="L176">
            <v>1</v>
          </cell>
          <cell r="M176">
            <v>1</v>
          </cell>
          <cell r="N176">
            <v>1</v>
          </cell>
          <cell r="O176">
            <v>1</v>
          </cell>
          <cell r="S176">
            <v>1</v>
          </cell>
          <cell r="U176">
            <v>1</v>
          </cell>
          <cell r="V176">
            <v>1</v>
          </cell>
          <cell r="Z176">
            <v>1</v>
          </cell>
          <cell r="AB176">
            <v>1</v>
          </cell>
          <cell r="AD176">
            <v>1</v>
          </cell>
          <cell r="AI176">
            <v>1</v>
          </cell>
          <cell r="AK176">
            <v>1</v>
          </cell>
          <cell r="AW176">
            <v>1</v>
          </cell>
          <cell r="AY176">
            <v>1</v>
          </cell>
          <cell r="BC176">
            <v>1</v>
          </cell>
          <cell r="BD176">
            <v>5</v>
          </cell>
          <cell r="BE176">
            <v>2</v>
          </cell>
          <cell r="BF176">
            <v>3</v>
          </cell>
          <cell r="BG176">
            <v>0</v>
          </cell>
          <cell r="BH176">
            <v>0</v>
          </cell>
          <cell r="BI176">
            <v>2</v>
          </cell>
        </row>
        <row r="177">
          <cell r="C177" t="str">
            <v>Doãn Nguyên Minh</v>
          </cell>
          <cell r="D177">
            <v>1185</v>
          </cell>
          <cell r="W177">
            <v>1</v>
          </cell>
          <cell r="AB177">
            <v>1</v>
          </cell>
          <cell r="AD177">
            <v>1</v>
          </cell>
          <cell r="AI177">
            <v>1</v>
          </cell>
          <cell r="AJ177">
            <v>1</v>
          </cell>
          <cell r="AN177">
            <v>1</v>
          </cell>
          <cell r="AP177">
            <v>1</v>
          </cell>
          <cell r="AQ177">
            <v>1</v>
          </cell>
          <cell r="AU177">
            <v>1</v>
          </cell>
          <cell r="AW177">
            <v>1</v>
          </cell>
          <cell r="AX177">
            <v>1</v>
          </cell>
          <cell r="BB177">
            <v>1</v>
          </cell>
          <cell r="BC177">
            <v>0</v>
          </cell>
          <cell r="BD177">
            <v>4</v>
          </cell>
          <cell r="BE177">
            <v>3</v>
          </cell>
          <cell r="BF177">
            <v>2</v>
          </cell>
          <cell r="BG177">
            <v>0</v>
          </cell>
          <cell r="BH177">
            <v>0</v>
          </cell>
          <cell r="BI177">
            <v>3</v>
          </cell>
        </row>
        <row r="178">
          <cell r="C178" t="str">
            <v>Chu Tiến Minh</v>
          </cell>
          <cell r="D178">
            <v>1186</v>
          </cell>
          <cell r="AB178">
            <v>1</v>
          </cell>
          <cell r="AD178">
            <v>1</v>
          </cell>
          <cell r="AI178">
            <v>1</v>
          </cell>
          <cell r="AK178">
            <v>1</v>
          </cell>
          <cell r="AP178">
            <v>1</v>
          </cell>
          <cell r="AV178">
            <v>1</v>
          </cell>
          <cell r="AW178">
            <v>1</v>
          </cell>
          <cell r="AY178">
            <v>1</v>
          </cell>
          <cell r="BB178">
            <v>1</v>
          </cell>
          <cell r="BC178">
            <v>1</v>
          </cell>
          <cell r="BD178">
            <v>4</v>
          </cell>
          <cell r="BE178">
            <v>0</v>
          </cell>
          <cell r="BF178">
            <v>3</v>
          </cell>
          <cell r="BG178">
            <v>0</v>
          </cell>
          <cell r="BH178">
            <v>0</v>
          </cell>
          <cell r="BI178">
            <v>1</v>
          </cell>
        </row>
        <row r="179">
          <cell r="C179" t="str">
            <v>Trần Ánh Ngọc</v>
          </cell>
          <cell r="D179">
            <v>1187</v>
          </cell>
          <cell r="AB179">
            <v>1</v>
          </cell>
          <cell r="AD179">
            <v>1</v>
          </cell>
          <cell r="AI179">
            <v>1</v>
          </cell>
          <cell r="AK179">
            <v>1</v>
          </cell>
          <cell r="AP179">
            <v>1</v>
          </cell>
          <cell r="AW179">
            <v>1</v>
          </cell>
          <cell r="AY179">
            <v>1</v>
          </cell>
          <cell r="BC179">
            <v>0</v>
          </cell>
          <cell r="BD179">
            <v>4</v>
          </cell>
          <cell r="BE179">
            <v>0</v>
          </cell>
          <cell r="BF179">
            <v>3</v>
          </cell>
          <cell r="BG179">
            <v>0</v>
          </cell>
          <cell r="BH179">
            <v>0</v>
          </cell>
          <cell r="BI179">
            <v>0</v>
          </cell>
        </row>
        <row r="180">
          <cell r="C180" t="str">
            <v xml:space="preserve">Lê Hoàng Quỳnh </v>
          </cell>
          <cell r="D180">
            <v>1188</v>
          </cell>
          <cell r="AI180">
            <v>1</v>
          </cell>
          <cell r="AK180">
            <v>1</v>
          </cell>
          <cell r="AP180">
            <v>1</v>
          </cell>
          <cell r="AQ180">
            <v>1</v>
          </cell>
          <cell r="AU180">
            <v>1</v>
          </cell>
          <cell r="AW180">
            <v>1</v>
          </cell>
          <cell r="AY180">
            <v>1</v>
          </cell>
          <cell r="BC180">
            <v>0</v>
          </cell>
          <cell r="BD180">
            <v>3</v>
          </cell>
          <cell r="BE180">
            <v>1</v>
          </cell>
          <cell r="BF180">
            <v>2</v>
          </cell>
          <cell r="BG180">
            <v>0</v>
          </cell>
          <cell r="BH180">
            <v>0</v>
          </cell>
          <cell r="BI180">
            <v>1</v>
          </cell>
        </row>
        <row r="181">
          <cell r="C181" t="str">
            <v>Nguyễn Đức Xuân Lâm</v>
          </cell>
          <cell r="D181">
            <v>1189</v>
          </cell>
          <cell r="AI181">
            <v>1</v>
          </cell>
          <cell r="AK181">
            <v>1</v>
          </cell>
          <cell r="AP181">
            <v>1</v>
          </cell>
          <cell r="AW181">
            <v>1</v>
          </cell>
          <cell r="AY181">
            <v>1</v>
          </cell>
          <cell r="BC181">
            <v>0</v>
          </cell>
          <cell r="BD181">
            <v>3</v>
          </cell>
          <cell r="BE181">
            <v>0</v>
          </cell>
          <cell r="BF181">
            <v>2</v>
          </cell>
          <cell r="BG181">
            <v>0</v>
          </cell>
          <cell r="BH181">
            <v>0</v>
          </cell>
          <cell r="BI181">
            <v>0</v>
          </cell>
        </row>
        <row r="182">
          <cell r="C182" t="str">
            <v>Trần Thị Thu Hương</v>
          </cell>
          <cell r="D182">
            <v>1094</v>
          </cell>
          <cell r="E182" t="str">
            <v>Trưởng bộ môn</v>
          </cell>
          <cell r="G182">
            <v>1</v>
          </cell>
          <cell r="H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S182">
            <v>1</v>
          </cell>
          <cell r="U182">
            <v>1</v>
          </cell>
          <cell r="V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N182">
            <v>1</v>
          </cell>
          <cell r="AP182">
            <v>1</v>
          </cell>
          <cell r="AV182">
            <v>1</v>
          </cell>
          <cell r="AW182">
            <v>1</v>
          </cell>
          <cell r="AY182">
            <v>1</v>
          </cell>
          <cell r="BB182">
            <v>1</v>
          </cell>
          <cell r="BC182">
            <v>4</v>
          </cell>
          <cell r="BD182">
            <v>6</v>
          </cell>
          <cell r="BE182">
            <v>4</v>
          </cell>
          <cell r="BF182">
            <v>1</v>
          </cell>
          <cell r="BG182">
            <v>0</v>
          </cell>
          <cell r="BH182">
            <v>0</v>
          </cell>
          <cell r="BI182">
            <v>5</v>
          </cell>
        </row>
        <row r="183">
          <cell r="C183" t="str">
            <v>Phạm Văn Kiệm</v>
          </cell>
          <cell r="D183">
            <v>1095</v>
          </cell>
          <cell r="E183" t="str">
            <v>Phó Trưởng bộ môn</v>
          </cell>
          <cell r="N183">
            <v>1</v>
          </cell>
          <cell r="P183">
            <v>1</v>
          </cell>
          <cell r="U183">
            <v>1</v>
          </cell>
          <cell r="W183">
            <v>1</v>
          </cell>
          <cell r="AB183">
            <v>1</v>
          </cell>
          <cell r="AC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N183">
            <v>1</v>
          </cell>
          <cell r="AP183">
            <v>1</v>
          </cell>
          <cell r="AQ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BB183">
            <v>1</v>
          </cell>
          <cell r="BC183">
            <v>2</v>
          </cell>
          <cell r="BD183">
            <v>6</v>
          </cell>
          <cell r="BE183">
            <v>4</v>
          </cell>
          <cell r="BF183">
            <v>2</v>
          </cell>
          <cell r="BG183">
            <v>0</v>
          </cell>
          <cell r="BH183">
            <v>0</v>
          </cell>
          <cell r="BI183">
            <v>4</v>
          </cell>
        </row>
        <row r="184">
          <cell r="C184" t="str">
            <v>Lục Thị Thu Hường</v>
          </cell>
          <cell r="D184">
            <v>1096</v>
          </cell>
          <cell r="G184">
            <v>1</v>
          </cell>
          <cell r="I184">
            <v>1</v>
          </cell>
          <cell r="N184">
            <v>1</v>
          </cell>
          <cell r="O184">
            <v>1</v>
          </cell>
          <cell r="S184">
            <v>1</v>
          </cell>
          <cell r="U184">
            <v>1</v>
          </cell>
          <cell r="V184">
            <v>1</v>
          </cell>
          <cell r="Z184">
            <v>1</v>
          </cell>
          <cell r="AB184">
            <v>1</v>
          </cell>
          <cell r="AC184">
            <v>1</v>
          </cell>
          <cell r="AG184">
            <v>1</v>
          </cell>
          <cell r="AI184">
            <v>1</v>
          </cell>
          <cell r="AJ184">
            <v>1</v>
          </cell>
          <cell r="AN184">
            <v>1</v>
          </cell>
          <cell r="AP184">
            <v>1</v>
          </cell>
          <cell r="AW184">
            <v>1</v>
          </cell>
          <cell r="AY184">
            <v>1</v>
          </cell>
          <cell r="BC184">
            <v>0</v>
          </cell>
          <cell r="BD184">
            <v>6</v>
          </cell>
          <cell r="BE184">
            <v>4</v>
          </cell>
          <cell r="BF184">
            <v>1</v>
          </cell>
          <cell r="BG184">
            <v>0</v>
          </cell>
          <cell r="BH184">
            <v>0</v>
          </cell>
          <cell r="BI184">
            <v>4</v>
          </cell>
        </row>
        <row r="185">
          <cell r="C185" t="str">
            <v>An Thị Thanh Nhàn</v>
          </cell>
          <cell r="D185">
            <v>1097</v>
          </cell>
          <cell r="F185">
            <v>1</v>
          </cell>
          <cell r="G185">
            <v>1</v>
          </cell>
          <cell r="H185">
            <v>1</v>
          </cell>
          <cell r="L185">
            <v>1</v>
          </cell>
          <cell r="N185">
            <v>1</v>
          </cell>
          <cell r="O185">
            <v>1</v>
          </cell>
          <cell r="S185">
            <v>1</v>
          </cell>
          <cell r="U185">
            <v>1</v>
          </cell>
          <cell r="V185">
            <v>1</v>
          </cell>
          <cell r="Z185">
            <v>1</v>
          </cell>
          <cell r="AB185">
            <v>1</v>
          </cell>
          <cell r="AC185">
            <v>1</v>
          </cell>
          <cell r="AG185">
            <v>1</v>
          </cell>
          <cell r="AI185">
            <v>1</v>
          </cell>
          <cell r="AJ185">
            <v>1</v>
          </cell>
          <cell r="AN185">
            <v>1</v>
          </cell>
          <cell r="AP185">
            <v>1</v>
          </cell>
          <cell r="AW185">
            <v>1</v>
          </cell>
          <cell r="AY185">
            <v>1</v>
          </cell>
          <cell r="BC185">
            <v>0</v>
          </cell>
          <cell r="BD185">
            <v>6</v>
          </cell>
          <cell r="BE185">
            <v>4</v>
          </cell>
          <cell r="BF185">
            <v>1</v>
          </cell>
          <cell r="BG185">
            <v>0</v>
          </cell>
          <cell r="BH185">
            <v>0</v>
          </cell>
          <cell r="BI185">
            <v>4</v>
          </cell>
        </row>
        <row r="186">
          <cell r="C186" t="str">
            <v>Nguyễn Văn Minh</v>
          </cell>
          <cell r="D186">
            <v>1098</v>
          </cell>
          <cell r="F186">
            <v>1</v>
          </cell>
          <cell r="G186">
            <v>1</v>
          </cell>
          <cell r="H186">
            <v>1</v>
          </cell>
          <cell r="L186">
            <v>1</v>
          </cell>
          <cell r="M186">
            <v>1</v>
          </cell>
          <cell r="N186">
            <v>1</v>
          </cell>
          <cell r="O186">
            <v>1</v>
          </cell>
          <cell r="S186">
            <v>1</v>
          </cell>
          <cell r="T186">
            <v>1</v>
          </cell>
          <cell r="U186">
            <v>1</v>
          </cell>
          <cell r="V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G186">
            <v>1</v>
          </cell>
          <cell r="AI186">
            <v>1</v>
          </cell>
          <cell r="AJ186">
            <v>1</v>
          </cell>
          <cell r="AN186">
            <v>1</v>
          </cell>
          <cell r="AP186">
            <v>1</v>
          </cell>
          <cell r="AW186">
            <v>1</v>
          </cell>
          <cell r="AY186">
            <v>1</v>
          </cell>
          <cell r="BC186">
            <v>2</v>
          </cell>
          <cell r="BD186">
            <v>5</v>
          </cell>
          <cell r="BE186">
            <v>3</v>
          </cell>
          <cell r="BF186">
            <v>1</v>
          </cell>
          <cell r="BG186">
            <v>0</v>
          </cell>
          <cell r="BH186">
            <v>0</v>
          </cell>
          <cell r="BI186">
            <v>3</v>
          </cell>
        </row>
        <row r="187">
          <cell r="C187" t="str">
            <v>Phạm Thị Huyền</v>
          </cell>
          <cell r="D187">
            <v>1099</v>
          </cell>
          <cell r="G187">
            <v>1</v>
          </cell>
          <cell r="I187">
            <v>1</v>
          </cell>
          <cell r="N187">
            <v>1</v>
          </cell>
          <cell r="P187">
            <v>1</v>
          </cell>
          <cell r="U187">
            <v>1</v>
          </cell>
          <cell r="V187">
            <v>1</v>
          </cell>
          <cell r="Z187">
            <v>1</v>
          </cell>
          <cell r="AB187">
            <v>1</v>
          </cell>
          <cell r="AC187">
            <v>1</v>
          </cell>
          <cell r="AG187">
            <v>1</v>
          </cell>
          <cell r="AI187">
            <v>1</v>
          </cell>
          <cell r="AJ187">
            <v>1</v>
          </cell>
          <cell r="AN187">
            <v>1</v>
          </cell>
          <cell r="AP187">
            <v>1</v>
          </cell>
          <cell r="AQ187">
            <v>1</v>
          </cell>
          <cell r="AU187">
            <v>1</v>
          </cell>
          <cell r="AW187">
            <v>1</v>
          </cell>
          <cell r="AX187">
            <v>1</v>
          </cell>
          <cell r="BB187">
            <v>1</v>
          </cell>
          <cell r="BC187">
            <v>0</v>
          </cell>
          <cell r="BD187">
            <v>6</v>
          </cell>
          <cell r="BE187">
            <v>5</v>
          </cell>
          <cell r="BF187">
            <v>1</v>
          </cell>
          <cell r="BG187">
            <v>0</v>
          </cell>
          <cell r="BH187">
            <v>0</v>
          </cell>
          <cell r="BI187">
            <v>5</v>
          </cell>
        </row>
        <row r="188">
          <cell r="C188" t="str">
            <v>Đoàn Ngọc Ninh</v>
          </cell>
          <cell r="D188">
            <v>1100</v>
          </cell>
          <cell r="G188">
            <v>1</v>
          </cell>
          <cell r="I188">
            <v>1</v>
          </cell>
          <cell r="N188">
            <v>1</v>
          </cell>
          <cell r="P188">
            <v>1</v>
          </cell>
          <cell r="U188">
            <v>1</v>
          </cell>
          <cell r="W188">
            <v>1</v>
          </cell>
          <cell r="AB188">
            <v>1</v>
          </cell>
          <cell r="AD188">
            <v>1</v>
          </cell>
          <cell r="AI188">
            <v>1</v>
          </cell>
          <cell r="AK188">
            <v>1</v>
          </cell>
          <cell r="AP188">
            <v>1</v>
          </cell>
          <cell r="AQ188">
            <v>1</v>
          </cell>
          <cell r="AU188">
            <v>1</v>
          </cell>
          <cell r="AW188">
            <v>1</v>
          </cell>
          <cell r="AX188">
            <v>1</v>
          </cell>
          <cell r="BB188">
            <v>1</v>
          </cell>
          <cell r="BC188">
            <v>0</v>
          </cell>
          <cell r="BD188">
            <v>6</v>
          </cell>
          <cell r="BE188">
            <v>2</v>
          </cell>
          <cell r="BF188">
            <v>4</v>
          </cell>
          <cell r="BG188">
            <v>0</v>
          </cell>
          <cell r="BH188">
            <v>0</v>
          </cell>
          <cell r="BI188">
            <v>2</v>
          </cell>
        </row>
        <row r="189">
          <cell r="C189" t="str">
            <v>Vũ Phương Thảo</v>
          </cell>
          <cell r="D189">
            <v>1101</v>
          </cell>
          <cell r="AB189">
            <v>1</v>
          </cell>
          <cell r="AD189">
            <v>1</v>
          </cell>
          <cell r="AI189">
            <v>1</v>
          </cell>
          <cell r="AJ189">
            <v>1</v>
          </cell>
          <cell r="AN189">
            <v>1</v>
          </cell>
          <cell r="AP189">
            <v>1</v>
          </cell>
          <cell r="AQ189">
            <v>1</v>
          </cell>
          <cell r="AU189">
            <v>1</v>
          </cell>
          <cell r="AV189">
            <v>1</v>
          </cell>
          <cell r="AW189">
            <v>1</v>
          </cell>
          <cell r="AY189">
            <v>1</v>
          </cell>
          <cell r="BB189">
            <v>1</v>
          </cell>
          <cell r="BC189">
            <v>1</v>
          </cell>
          <cell r="BD189">
            <v>4</v>
          </cell>
          <cell r="BE189">
            <v>2</v>
          </cell>
          <cell r="BF189">
            <v>2</v>
          </cell>
          <cell r="BG189">
            <v>0</v>
          </cell>
          <cell r="BH189">
            <v>0</v>
          </cell>
          <cell r="BI189">
            <v>3</v>
          </cell>
        </row>
        <row r="190">
          <cell r="C190" t="str">
            <v>Nguyễn Khắc Huy</v>
          </cell>
          <cell r="D190">
            <v>1102</v>
          </cell>
          <cell r="AI190">
            <v>1</v>
          </cell>
          <cell r="AK190">
            <v>1</v>
          </cell>
          <cell r="AP190">
            <v>1</v>
          </cell>
          <cell r="AW190">
            <v>1</v>
          </cell>
          <cell r="AY190">
            <v>1</v>
          </cell>
          <cell r="BC190">
            <v>0</v>
          </cell>
          <cell r="BD190">
            <v>3</v>
          </cell>
          <cell r="BE190">
            <v>0</v>
          </cell>
          <cell r="BF190">
            <v>2</v>
          </cell>
          <cell r="BG190">
            <v>0</v>
          </cell>
          <cell r="BH190">
            <v>0</v>
          </cell>
          <cell r="BI190">
            <v>0</v>
          </cell>
        </row>
        <row r="191">
          <cell r="C191" t="str">
            <v>Phạm Thu Trang</v>
          </cell>
          <cell r="D191">
            <v>1103</v>
          </cell>
          <cell r="AI191">
            <v>1</v>
          </cell>
          <cell r="AK191">
            <v>1</v>
          </cell>
          <cell r="AP191">
            <v>1</v>
          </cell>
          <cell r="AW191">
            <v>1</v>
          </cell>
          <cell r="AY191">
            <v>1</v>
          </cell>
          <cell r="BC191">
            <v>0</v>
          </cell>
          <cell r="BD191">
            <v>3</v>
          </cell>
          <cell r="BE191">
            <v>0</v>
          </cell>
          <cell r="BF191">
            <v>2</v>
          </cell>
          <cell r="BG191">
            <v>0</v>
          </cell>
          <cell r="BH191">
            <v>0</v>
          </cell>
          <cell r="BI191">
            <v>0</v>
          </cell>
        </row>
        <row r="192">
          <cell r="C192" t="str">
            <v>Phan Thế Công</v>
          </cell>
          <cell r="D192">
            <v>1437</v>
          </cell>
          <cell r="E192" t="str">
            <v>Trưởng khoa, BTCB</v>
          </cell>
          <cell r="F192">
            <v>1</v>
          </cell>
          <cell r="G192">
            <v>1</v>
          </cell>
          <cell r="H192">
            <v>1</v>
          </cell>
          <cell r="L192">
            <v>1</v>
          </cell>
          <cell r="M192">
            <v>1</v>
          </cell>
          <cell r="N192">
            <v>1</v>
          </cell>
          <cell r="O192">
            <v>1</v>
          </cell>
          <cell r="S192">
            <v>1</v>
          </cell>
          <cell r="T192">
            <v>1</v>
          </cell>
          <cell r="U192">
            <v>1</v>
          </cell>
          <cell r="V192">
            <v>1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G192">
            <v>1</v>
          </cell>
          <cell r="AI192">
            <v>1</v>
          </cell>
          <cell r="AJ192">
            <v>1</v>
          </cell>
          <cell r="AN192">
            <v>1</v>
          </cell>
          <cell r="AP192">
            <v>1</v>
          </cell>
          <cell r="AQ192">
            <v>1</v>
          </cell>
          <cell r="AU192">
            <v>1</v>
          </cell>
          <cell r="AW192">
            <v>1</v>
          </cell>
          <cell r="AY192">
            <v>1</v>
          </cell>
          <cell r="BC192">
            <v>3</v>
          </cell>
          <cell r="BD192">
            <v>6</v>
          </cell>
          <cell r="BE192">
            <v>5</v>
          </cell>
          <cell r="BF192">
            <v>1</v>
          </cell>
          <cell r="BG192">
            <v>0</v>
          </cell>
          <cell r="BH192">
            <v>0</v>
          </cell>
          <cell r="BI192">
            <v>5</v>
          </cell>
        </row>
        <row r="193">
          <cell r="C193" t="str">
            <v>Nguyễn Thị Thu Hiền</v>
          </cell>
          <cell r="D193">
            <v>1438</v>
          </cell>
          <cell r="E193" t="str">
            <v>Trưởng bộ môn, CUV</v>
          </cell>
          <cell r="G193">
            <v>1</v>
          </cell>
          <cell r="H193">
            <v>1</v>
          </cell>
          <cell r="L193">
            <v>1</v>
          </cell>
          <cell r="N193">
            <v>1</v>
          </cell>
          <cell r="O193">
            <v>1</v>
          </cell>
          <cell r="S193">
            <v>1</v>
          </cell>
          <cell r="U193">
            <v>1</v>
          </cell>
          <cell r="V193">
            <v>1</v>
          </cell>
          <cell r="Z193">
            <v>1</v>
          </cell>
          <cell r="AB193">
            <v>1</v>
          </cell>
          <cell r="AC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N193">
            <v>1</v>
          </cell>
          <cell r="AO193">
            <v>1</v>
          </cell>
          <cell r="AP193">
            <v>1</v>
          </cell>
          <cell r="AQ193">
            <v>1</v>
          </cell>
          <cell r="AU193">
            <v>1</v>
          </cell>
          <cell r="AV193">
            <v>1</v>
          </cell>
          <cell r="AW193">
            <v>1</v>
          </cell>
          <cell r="AY193">
            <v>1</v>
          </cell>
          <cell r="BB193">
            <v>1</v>
          </cell>
          <cell r="BC193">
            <v>3</v>
          </cell>
          <cell r="BD193">
            <v>6</v>
          </cell>
          <cell r="BE193">
            <v>5</v>
          </cell>
          <cell r="BF193">
            <v>1</v>
          </cell>
          <cell r="BG193">
            <v>0</v>
          </cell>
          <cell r="BH193">
            <v>0</v>
          </cell>
          <cell r="BI193">
            <v>6</v>
          </cell>
        </row>
        <row r="194">
          <cell r="C194" t="str">
            <v>Lê Mai Trang</v>
          </cell>
          <cell r="D194">
            <v>1439</v>
          </cell>
          <cell r="E194" t="str">
            <v>Phó Trưởng bộ môn</v>
          </cell>
          <cell r="F194">
            <v>1</v>
          </cell>
          <cell r="G194">
            <v>1</v>
          </cell>
          <cell r="H194">
            <v>1</v>
          </cell>
          <cell r="L194">
            <v>1</v>
          </cell>
          <cell r="N194">
            <v>1</v>
          </cell>
          <cell r="O194">
            <v>1</v>
          </cell>
          <cell r="S194">
            <v>1</v>
          </cell>
          <cell r="T194">
            <v>1</v>
          </cell>
          <cell r="U194">
            <v>1</v>
          </cell>
          <cell r="V194">
            <v>1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G194">
            <v>1</v>
          </cell>
          <cell r="AH194">
            <v>1</v>
          </cell>
          <cell r="AI194">
            <v>1</v>
          </cell>
          <cell r="AJ194">
            <v>1</v>
          </cell>
          <cell r="AN194">
            <v>1</v>
          </cell>
          <cell r="AO194">
            <v>1</v>
          </cell>
          <cell r="AP194">
            <v>1</v>
          </cell>
          <cell r="AQ194">
            <v>1</v>
          </cell>
          <cell r="AU194">
            <v>1</v>
          </cell>
          <cell r="AV194">
            <v>1</v>
          </cell>
          <cell r="AW194">
            <v>1</v>
          </cell>
          <cell r="AX194">
            <v>1</v>
          </cell>
          <cell r="BB194">
            <v>1</v>
          </cell>
          <cell r="BC194">
            <v>5</v>
          </cell>
          <cell r="BD194">
            <v>6</v>
          </cell>
          <cell r="BE194">
            <v>6</v>
          </cell>
          <cell r="BF194">
            <v>0</v>
          </cell>
          <cell r="BG194">
            <v>0</v>
          </cell>
          <cell r="BH194">
            <v>0</v>
          </cell>
          <cell r="BI194">
            <v>6</v>
          </cell>
        </row>
        <row r="195">
          <cell r="C195" t="str">
            <v>Vũ Thị Thanh Huyền</v>
          </cell>
          <cell r="D195">
            <v>1440</v>
          </cell>
          <cell r="G195">
            <v>1</v>
          </cell>
          <cell r="I195">
            <v>1</v>
          </cell>
          <cell r="M195">
            <v>1</v>
          </cell>
          <cell r="N195">
            <v>1</v>
          </cell>
          <cell r="O195">
            <v>1</v>
          </cell>
          <cell r="S195">
            <v>1</v>
          </cell>
          <cell r="U195">
            <v>1</v>
          </cell>
          <cell r="W195">
            <v>1</v>
          </cell>
          <cell r="AB195">
            <v>1</v>
          </cell>
          <cell r="AC195">
            <v>1</v>
          </cell>
          <cell r="AG195">
            <v>1</v>
          </cell>
          <cell r="AH195">
            <v>1</v>
          </cell>
          <cell r="AI195">
            <v>1</v>
          </cell>
          <cell r="AM195">
            <v>1</v>
          </cell>
          <cell r="AP195">
            <v>1</v>
          </cell>
          <cell r="AQ195">
            <v>1</v>
          </cell>
          <cell r="AU195">
            <v>1</v>
          </cell>
          <cell r="AV195">
            <v>1</v>
          </cell>
          <cell r="AW195">
            <v>1</v>
          </cell>
          <cell r="AX195">
            <v>1</v>
          </cell>
          <cell r="BB195">
            <v>1</v>
          </cell>
          <cell r="BC195">
            <v>3</v>
          </cell>
          <cell r="BD195">
            <v>6</v>
          </cell>
          <cell r="BE195">
            <v>4</v>
          </cell>
          <cell r="BF195">
            <v>1</v>
          </cell>
          <cell r="BG195">
            <v>0</v>
          </cell>
          <cell r="BH195">
            <v>1</v>
          </cell>
          <cell r="BI195">
            <v>4</v>
          </cell>
        </row>
        <row r="196">
          <cell r="C196" t="str">
            <v>Hoàng Anh Tuấn</v>
          </cell>
          <cell r="D196">
            <v>1441</v>
          </cell>
          <cell r="G196">
            <v>1</v>
          </cell>
          <cell r="I196">
            <v>1</v>
          </cell>
          <cell r="N196">
            <v>1</v>
          </cell>
          <cell r="P196">
            <v>1</v>
          </cell>
          <cell r="U196">
            <v>1</v>
          </cell>
          <cell r="W196">
            <v>1</v>
          </cell>
          <cell r="AB196">
            <v>1</v>
          </cell>
          <cell r="AD196">
            <v>1</v>
          </cell>
          <cell r="AH196">
            <v>1</v>
          </cell>
          <cell r="AI196">
            <v>1</v>
          </cell>
          <cell r="AM196">
            <v>1</v>
          </cell>
          <cell r="AP196">
            <v>1</v>
          </cell>
          <cell r="AQ196">
            <v>1</v>
          </cell>
          <cell r="AU196">
            <v>1</v>
          </cell>
          <cell r="AW196">
            <v>1</v>
          </cell>
          <cell r="AY196">
            <v>1</v>
          </cell>
          <cell r="BC196">
            <v>1</v>
          </cell>
          <cell r="BD196">
            <v>6</v>
          </cell>
          <cell r="BE196">
            <v>1</v>
          </cell>
          <cell r="BF196">
            <v>4</v>
          </cell>
          <cell r="BG196">
            <v>0</v>
          </cell>
          <cell r="BH196">
            <v>1</v>
          </cell>
          <cell r="BI196">
            <v>1</v>
          </cell>
        </row>
        <row r="197">
          <cell r="C197" t="str">
            <v>Vũ Ngọc Tú</v>
          </cell>
          <cell r="D197">
            <v>1442</v>
          </cell>
          <cell r="G197">
            <v>1</v>
          </cell>
          <cell r="I197">
            <v>1</v>
          </cell>
          <cell r="N197">
            <v>1</v>
          </cell>
          <cell r="P197">
            <v>1</v>
          </cell>
          <cell r="U197">
            <v>1</v>
          </cell>
          <cell r="W197">
            <v>1</v>
          </cell>
          <cell r="AB197">
            <v>1</v>
          </cell>
          <cell r="AD197">
            <v>1</v>
          </cell>
          <cell r="AI197">
            <v>1</v>
          </cell>
          <cell r="AK197">
            <v>1</v>
          </cell>
          <cell r="AP197">
            <v>1</v>
          </cell>
          <cell r="AW197">
            <v>1</v>
          </cell>
          <cell r="AY197">
            <v>1</v>
          </cell>
          <cell r="BC197">
            <v>0</v>
          </cell>
          <cell r="BD197">
            <v>6</v>
          </cell>
          <cell r="BE197">
            <v>0</v>
          </cell>
          <cell r="BF197">
            <v>5</v>
          </cell>
          <cell r="BG197">
            <v>0</v>
          </cell>
          <cell r="BH197">
            <v>0</v>
          </cell>
          <cell r="BI197">
            <v>0</v>
          </cell>
        </row>
        <row r="198">
          <cell r="C198" t="str">
            <v>Trần Kim Anh</v>
          </cell>
          <cell r="D198">
            <v>1443</v>
          </cell>
          <cell r="G198">
            <v>1</v>
          </cell>
          <cell r="I198">
            <v>1</v>
          </cell>
          <cell r="N198">
            <v>1</v>
          </cell>
          <cell r="P198">
            <v>1</v>
          </cell>
          <cell r="U198">
            <v>1</v>
          </cell>
          <cell r="W198">
            <v>1</v>
          </cell>
          <cell r="AB198">
            <v>1</v>
          </cell>
          <cell r="AC198">
            <v>1</v>
          </cell>
          <cell r="AG198">
            <v>1</v>
          </cell>
          <cell r="AI198">
            <v>1</v>
          </cell>
          <cell r="AJ198">
            <v>1</v>
          </cell>
          <cell r="AN198">
            <v>1</v>
          </cell>
          <cell r="AP198">
            <v>1</v>
          </cell>
          <cell r="AQ198">
            <v>1</v>
          </cell>
          <cell r="AU198">
            <v>1</v>
          </cell>
          <cell r="AW198">
            <v>1</v>
          </cell>
          <cell r="AY198">
            <v>1</v>
          </cell>
          <cell r="BC198">
            <v>0</v>
          </cell>
          <cell r="BD198">
            <v>6</v>
          </cell>
          <cell r="BE198">
            <v>3</v>
          </cell>
          <cell r="BF198">
            <v>3</v>
          </cell>
          <cell r="BG198">
            <v>0</v>
          </cell>
          <cell r="BH198">
            <v>0</v>
          </cell>
          <cell r="BI198">
            <v>3</v>
          </cell>
        </row>
        <row r="199">
          <cell r="C199" t="str">
            <v>Nguyễn Minh Quang</v>
          </cell>
          <cell r="D199">
            <v>1444</v>
          </cell>
          <cell r="G199">
            <v>1</v>
          </cell>
          <cell r="I199">
            <v>1</v>
          </cell>
          <cell r="N199">
            <v>1</v>
          </cell>
          <cell r="P199">
            <v>1</v>
          </cell>
          <cell r="U199">
            <v>1</v>
          </cell>
          <cell r="W199">
            <v>1</v>
          </cell>
          <cell r="AB199">
            <v>1</v>
          </cell>
          <cell r="AD199">
            <v>1</v>
          </cell>
          <cell r="AI199">
            <v>1</v>
          </cell>
          <cell r="AK199">
            <v>1</v>
          </cell>
          <cell r="AW199">
            <v>1</v>
          </cell>
          <cell r="AY199">
            <v>1</v>
          </cell>
          <cell r="BC199">
            <v>0</v>
          </cell>
          <cell r="BD199">
            <v>5</v>
          </cell>
          <cell r="BE199">
            <v>0</v>
          </cell>
          <cell r="BF199">
            <v>5</v>
          </cell>
          <cell r="BG199">
            <v>0</v>
          </cell>
          <cell r="BH199">
            <v>0</v>
          </cell>
          <cell r="BI199">
            <v>0</v>
          </cell>
        </row>
        <row r="200">
          <cell r="C200" t="str">
            <v>Ngô  Hải Thanh</v>
          </cell>
          <cell r="D200">
            <v>1445</v>
          </cell>
          <cell r="G200">
            <v>1</v>
          </cell>
          <cell r="I200">
            <v>1</v>
          </cell>
          <cell r="N200">
            <v>1</v>
          </cell>
          <cell r="P200">
            <v>1</v>
          </cell>
          <cell r="U200">
            <v>1</v>
          </cell>
          <cell r="W200">
            <v>1</v>
          </cell>
          <cell r="AB200">
            <v>1</v>
          </cell>
          <cell r="AC200">
            <v>1</v>
          </cell>
          <cell r="AG200">
            <v>1</v>
          </cell>
          <cell r="AI200">
            <v>1</v>
          </cell>
          <cell r="AJ200">
            <v>1</v>
          </cell>
          <cell r="AN200">
            <v>1</v>
          </cell>
          <cell r="AP200">
            <v>1</v>
          </cell>
          <cell r="AW200">
            <v>1</v>
          </cell>
          <cell r="AY200">
            <v>1</v>
          </cell>
          <cell r="BC200">
            <v>0</v>
          </cell>
          <cell r="BD200">
            <v>6</v>
          </cell>
          <cell r="BE200">
            <v>2</v>
          </cell>
          <cell r="BF200">
            <v>3</v>
          </cell>
          <cell r="BG200">
            <v>0</v>
          </cell>
          <cell r="BH200">
            <v>0</v>
          </cell>
          <cell r="BI200">
            <v>2</v>
          </cell>
        </row>
        <row r="201">
          <cell r="C201" t="str">
            <v>Đỗ Thị Thanh Huyền</v>
          </cell>
          <cell r="D201">
            <v>1446</v>
          </cell>
          <cell r="G201">
            <v>1</v>
          </cell>
          <cell r="I201">
            <v>1</v>
          </cell>
          <cell r="N201">
            <v>1</v>
          </cell>
          <cell r="P201">
            <v>1</v>
          </cell>
          <cell r="U201">
            <v>1</v>
          </cell>
          <cell r="W201">
            <v>1</v>
          </cell>
          <cell r="AB201">
            <v>1</v>
          </cell>
          <cell r="AC201">
            <v>1</v>
          </cell>
          <cell r="AG201">
            <v>1</v>
          </cell>
          <cell r="AI201">
            <v>1</v>
          </cell>
          <cell r="AJ201">
            <v>1</v>
          </cell>
          <cell r="AN201">
            <v>1</v>
          </cell>
          <cell r="AP201">
            <v>1</v>
          </cell>
          <cell r="AW201">
            <v>1</v>
          </cell>
          <cell r="AY201">
            <v>1</v>
          </cell>
          <cell r="BC201">
            <v>0</v>
          </cell>
          <cell r="BD201">
            <v>6</v>
          </cell>
          <cell r="BE201">
            <v>2</v>
          </cell>
          <cell r="BF201">
            <v>3</v>
          </cell>
          <cell r="BG201">
            <v>0</v>
          </cell>
          <cell r="BH201">
            <v>0</v>
          </cell>
          <cell r="BI201">
            <v>2</v>
          </cell>
        </row>
        <row r="202">
          <cell r="C202" t="str">
            <v>Đặng Thị Thanh Bình</v>
          </cell>
          <cell r="D202">
            <v>1447</v>
          </cell>
          <cell r="G202">
            <v>1</v>
          </cell>
          <cell r="I202">
            <v>1</v>
          </cell>
          <cell r="N202">
            <v>1</v>
          </cell>
          <cell r="P202">
            <v>1</v>
          </cell>
          <cell r="U202">
            <v>1</v>
          </cell>
          <cell r="V202">
            <v>1</v>
          </cell>
          <cell r="Z202">
            <v>1</v>
          </cell>
          <cell r="AB202">
            <v>1</v>
          </cell>
          <cell r="AD202">
            <v>1</v>
          </cell>
          <cell r="AI202">
            <v>1</v>
          </cell>
          <cell r="AK202">
            <v>1</v>
          </cell>
          <cell r="AP202">
            <v>1</v>
          </cell>
          <cell r="AW202">
            <v>1</v>
          </cell>
          <cell r="AX202">
            <v>1</v>
          </cell>
          <cell r="BB202">
            <v>1</v>
          </cell>
          <cell r="BC202">
            <v>0</v>
          </cell>
          <cell r="BD202">
            <v>6</v>
          </cell>
          <cell r="BE202">
            <v>2</v>
          </cell>
          <cell r="BF202">
            <v>3</v>
          </cell>
          <cell r="BG202">
            <v>0</v>
          </cell>
          <cell r="BH202">
            <v>0</v>
          </cell>
          <cell r="BI202">
            <v>2</v>
          </cell>
        </row>
        <row r="203">
          <cell r="C203" t="str">
            <v>Ninh Thị Hoàng Lan</v>
          </cell>
          <cell r="D203">
            <v>1448</v>
          </cell>
          <cell r="E203" t="str">
            <v>Chi ủy viên</v>
          </cell>
          <cell r="G203">
            <v>1</v>
          </cell>
          <cell r="H203">
            <v>1</v>
          </cell>
          <cell r="L203">
            <v>1</v>
          </cell>
          <cell r="N203">
            <v>1</v>
          </cell>
          <cell r="P203">
            <v>1</v>
          </cell>
          <cell r="U203">
            <v>1</v>
          </cell>
          <cell r="W203">
            <v>1</v>
          </cell>
          <cell r="AB203">
            <v>1</v>
          </cell>
          <cell r="AC203">
            <v>1</v>
          </cell>
          <cell r="AG203">
            <v>1</v>
          </cell>
          <cell r="AI203">
            <v>1</v>
          </cell>
          <cell r="AJ203">
            <v>1</v>
          </cell>
          <cell r="AN203">
            <v>1</v>
          </cell>
          <cell r="AP203">
            <v>1</v>
          </cell>
          <cell r="AW203">
            <v>1</v>
          </cell>
          <cell r="AY203">
            <v>1</v>
          </cell>
          <cell r="BC203">
            <v>0</v>
          </cell>
          <cell r="BD203">
            <v>6</v>
          </cell>
          <cell r="BE203">
            <v>2</v>
          </cell>
          <cell r="BF203">
            <v>3</v>
          </cell>
          <cell r="BG203">
            <v>0</v>
          </cell>
          <cell r="BH203">
            <v>0</v>
          </cell>
          <cell r="BI203">
            <v>2</v>
          </cell>
        </row>
        <row r="204">
          <cell r="C204" t="str">
            <v>Nguyễn Ngọc Quỳnh</v>
          </cell>
          <cell r="D204">
            <v>1449</v>
          </cell>
          <cell r="G204">
            <v>1</v>
          </cell>
          <cell r="I204">
            <v>1</v>
          </cell>
          <cell r="N204">
            <v>1</v>
          </cell>
          <cell r="P204">
            <v>1</v>
          </cell>
          <cell r="U204">
            <v>1</v>
          </cell>
          <cell r="W204">
            <v>1</v>
          </cell>
          <cell r="AB204">
            <v>1</v>
          </cell>
          <cell r="AD204">
            <v>1</v>
          </cell>
          <cell r="AI204">
            <v>1</v>
          </cell>
          <cell r="AK204">
            <v>1</v>
          </cell>
          <cell r="AP204">
            <v>1</v>
          </cell>
          <cell r="AQ204">
            <v>1</v>
          </cell>
          <cell r="AU204">
            <v>1</v>
          </cell>
          <cell r="AW204">
            <v>1</v>
          </cell>
          <cell r="AY204">
            <v>1</v>
          </cell>
          <cell r="BC204">
            <v>0</v>
          </cell>
          <cell r="BD204">
            <v>6</v>
          </cell>
          <cell r="BE204">
            <v>1</v>
          </cell>
          <cell r="BF204">
            <v>5</v>
          </cell>
          <cell r="BG204">
            <v>0</v>
          </cell>
          <cell r="BH204">
            <v>0</v>
          </cell>
          <cell r="BI204">
            <v>1</v>
          </cell>
        </row>
        <row r="205">
          <cell r="C205" t="str">
            <v>Hồ Thị Mai Sương</v>
          </cell>
          <cell r="D205">
            <v>1450</v>
          </cell>
          <cell r="G205">
            <v>1</v>
          </cell>
          <cell r="I205">
            <v>1</v>
          </cell>
          <cell r="N205">
            <v>1</v>
          </cell>
          <cell r="P205">
            <v>1</v>
          </cell>
          <cell r="U205">
            <v>1</v>
          </cell>
          <cell r="W205">
            <v>1</v>
          </cell>
          <cell r="AB205">
            <v>1</v>
          </cell>
          <cell r="AC205">
            <v>1</v>
          </cell>
          <cell r="AG205">
            <v>1</v>
          </cell>
          <cell r="AI205">
            <v>1</v>
          </cell>
          <cell r="AJ205">
            <v>1</v>
          </cell>
          <cell r="AN205">
            <v>1</v>
          </cell>
          <cell r="AP205">
            <v>1</v>
          </cell>
          <cell r="AW205">
            <v>1</v>
          </cell>
          <cell r="AY205">
            <v>1</v>
          </cell>
          <cell r="BC205">
            <v>0</v>
          </cell>
          <cell r="BD205">
            <v>6</v>
          </cell>
          <cell r="BE205">
            <v>2</v>
          </cell>
          <cell r="BF205">
            <v>3</v>
          </cell>
          <cell r="BG205">
            <v>0</v>
          </cell>
          <cell r="BH205">
            <v>0</v>
          </cell>
          <cell r="BI205">
            <v>2</v>
          </cell>
        </row>
        <row r="206">
          <cell r="C206" t="str">
            <v>Lương Nguyệt Ánh</v>
          </cell>
          <cell r="D206">
            <v>1451</v>
          </cell>
          <cell r="G206">
            <v>1</v>
          </cell>
          <cell r="I206">
            <v>1</v>
          </cell>
          <cell r="N206">
            <v>1</v>
          </cell>
          <cell r="O206">
            <v>1</v>
          </cell>
          <cell r="S206">
            <v>1</v>
          </cell>
          <cell r="U206">
            <v>1</v>
          </cell>
          <cell r="V206">
            <v>1</v>
          </cell>
          <cell r="Z206">
            <v>1</v>
          </cell>
          <cell r="AB206">
            <v>1</v>
          </cell>
          <cell r="AC206">
            <v>1</v>
          </cell>
          <cell r="AG206">
            <v>1</v>
          </cell>
          <cell r="AI206">
            <v>1</v>
          </cell>
          <cell r="AJ206">
            <v>1</v>
          </cell>
          <cell r="AN206">
            <v>1</v>
          </cell>
          <cell r="AP206">
            <v>1</v>
          </cell>
          <cell r="AW206">
            <v>1</v>
          </cell>
          <cell r="AY206">
            <v>1</v>
          </cell>
          <cell r="BC206">
            <v>0</v>
          </cell>
          <cell r="BD206">
            <v>6</v>
          </cell>
          <cell r="BE206">
            <v>4</v>
          </cell>
          <cell r="BF206">
            <v>1</v>
          </cell>
          <cell r="BG206">
            <v>0</v>
          </cell>
          <cell r="BH206">
            <v>0</v>
          </cell>
          <cell r="BI206">
            <v>4</v>
          </cell>
        </row>
        <row r="207">
          <cell r="C207" t="str">
            <v>Nguyễn Thị Lệ</v>
          </cell>
          <cell r="D207">
            <v>1452</v>
          </cell>
          <cell r="G207">
            <v>1</v>
          </cell>
          <cell r="I207">
            <v>1</v>
          </cell>
          <cell r="N207">
            <v>1</v>
          </cell>
          <cell r="P207">
            <v>1</v>
          </cell>
          <cell r="U207">
            <v>1</v>
          </cell>
          <cell r="W207">
            <v>1</v>
          </cell>
          <cell r="AE207">
            <v>1</v>
          </cell>
          <cell r="AI207">
            <v>1</v>
          </cell>
          <cell r="AK207">
            <v>1</v>
          </cell>
          <cell r="AP207">
            <v>1</v>
          </cell>
          <cell r="AW207">
            <v>1</v>
          </cell>
          <cell r="AY207">
            <v>1</v>
          </cell>
          <cell r="BC207">
            <v>0</v>
          </cell>
          <cell r="BD207">
            <v>5</v>
          </cell>
          <cell r="BE207">
            <v>0</v>
          </cell>
          <cell r="BF207">
            <v>4</v>
          </cell>
          <cell r="BG207">
            <v>1</v>
          </cell>
          <cell r="BH207">
            <v>0</v>
          </cell>
          <cell r="BI207">
            <v>0</v>
          </cell>
        </row>
        <row r="208">
          <cell r="C208" t="str">
            <v>Nguyễn Thị Quỳnh Hương</v>
          </cell>
          <cell r="D208">
            <v>1453</v>
          </cell>
          <cell r="G208">
            <v>1</v>
          </cell>
          <cell r="I208">
            <v>1</v>
          </cell>
          <cell r="N208">
            <v>1</v>
          </cell>
          <cell r="P208">
            <v>1</v>
          </cell>
          <cell r="U208">
            <v>1</v>
          </cell>
          <cell r="W208">
            <v>1</v>
          </cell>
          <cell r="AB208">
            <v>1</v>
          </cell>
          <cell r="AC208">
            <v>1</v>
          </cell>
          <cell r="AG208">
            <v>1</v>
          </cell>
          <cell r="AI208">
            <v>1</v>
          </cell>
          <cell r="AJ208">
            <v>1</v>
          </cell>
          <cell r="AN208">
            <v>1</v>
          </cell>
          <cell r="AP208">
            <v>1</v>
          </cell>
          <cell r="AQ208">
            <v>1</v>
          </cell>
          <cell r="AU208">
            <v>1</v>
          </cell>
          <cell r="AW208">
            <v>1</v>
          </cell>
          <cell r="AY208">
            <v>1</v>
          </cell>
          <cell r="BC208">
            <v>0</v>
          </cell>
          <cell r="BD208">
            <v>6</v>
          </cell>
          <cell r="BE208">
            <v>3</v>
          </cell>
          <cell r="BF208">
            <v>3</v>
          </cell>
          <cell r="BG208">
            <v>0</v>
          </cell>
          <cell r="BH208">
            <v>0</v>
          </cell>
          <cell r="BI208">
            <v>3</v>
          </cell>
        </row>
        <row r="209">
          <cell r="C209" t="str">
            <v>Nguyễn Thị Yến Hạnh</v>
          </cell>
          <cell r="D209">
            <v>1454</v>
          </cell>
          <cell r="AB209">
            <v>1</v>
          </cell>
          <cell r="AD209">
            <v>1</v>
          </cell>
          <cell r="AI209">
            <v>1</v>
          </cell>
          <cell r="AK209">
            <v>1</v>
          </cell>
          <cell r="AP209">
            <v>1</v>
          </cell>
          <cell r="AW209">
            <v>1</v>
          </cell>
          <cell r="AY209">
            <v>1</v>
          </cell>
          <cell r="BC209">
            <v>0</v>
          </cell>
          <cell r="BD209">
            <v>4</v>
          </cell>
          <cell r="BE209">
            <v>0</v>
          </cell>
          <cell r="BF209">
            <v>3</v>
          </cell>
          <cell r="BG209">
            <v>0</v>
          </cell>
          <cell r="BH209">
            <v>0</v>
          </cell>
          <cell r="BI209">
            <v>0</v>
          </cell>
        </row>
        <row r="210">
          <cell r="C210" t="str">
            <v>Dương Thị Thu Hương</v>
          </cell>
          <cell r="D210">
            <v>1202</v>
          </cell>
          <cell r="G210">
            <v>1</v>
          </cell>
          <cell r="H210">
            <v>1</v>
          </cell>
          <cell r="L210">
            <v>1</v>
          </cell>
          <cell r="N210">
            <v>1</v>
          </cell>
          <cell r="P210">
            <v>1</v>
          </cell>
          <cell r="U210">
            <v>1</v>
          </cell>
          <cell r="V210">
            <v>1</v>
          </cell>
          <cell r="Z210">
            <v>1</v>
          </cell>
          <cell r="AD210">
            <v>1</v>
          </cell>
          <cell r="AI210">
            <v>1</v>
          </cell>
          <cell r="AJ210">
            <v>1</v>
          </cell>
          <cell r="AN210">
            <v>1</v>
          </cell>
          <cell r="AP210">
            <v>1</v>
          </cell>
          <cell r="AQ210">
            <v>1</v>
          </cell>
          <cell r="AU210">
            <v>1</v>
          </cell>
          <cell r="AW210">
            <v>1</v>
          </cell>
          <cell r="AX210">
            <v>1</v>
          </cell>
          <cell r="BB210">
            <v>1</v>
          </cell>
          <cell r="BC210">
            <v>0</v>
          </cell>
          <cell r="BD210">
            <v>5</v>
          </cell>
          <cell r="BE210">
            <v>4</v>
          </cell>
          <cell r="BF210">
            <v>2</v>
          </cell>
          <cell r="BG210">
            <v>0</v>
          </cell>
          <cell r="BH210">
            <v>0</v>
          </cell>
          <cell r="BI210">
            <v>4</v>
          </cell>
        </row>
        <row r="211">
          <cell r="C211" t="str">
            <v>Dương Hoàng Anh</v>
          </cell>
          <cell r="D211">
            <v>1190</v>
          </cell>
          <cell r="E211" t="str">
            <v>Trưởng bộ môn, CUV</v>
          </cell>
          <cell r="G211">
            <v>1</v>
          </cell>
          <cell r="I211">
            <v>1</v>
          </cell>
          <cell r="N211">
            <v>1</v>
          </cell>
          <cell r="P211">
            <v>1</v>
          </cell>
          <cell r="U211">
            <v>1</v>
          </cell>
          <cell r="V211">
            <v>1</v>
          </cell>
          <cell r="Z211">
            <v>1</v>
          </cell>
          <cell r="AA211">
            <v>1</v>
          </cell>
          <cell r="AB211">
            <v>1</v>
          </cell>
          <cell r="AC211">
            <v>1</v>
          </cell>
          <cell r="AG211">
            <v>1</v>
          </cell>
          <cell r="AI211">
            <v>1</v>
          </cell>
          <cell r="AJ211">
            <v>1</v>
          </cell>
          <cell r="AN211">
            <v>1</v>
          </cell>
          <cell r="AO211">
            <v>1</v>
          </cell>
          <cell r="AP211">
            <v>1</v>
          </cell>
          <cell r="AQ211">
            <v>1</v>
          </cell>
          <cell r="AU211">
            <v>1</v>
          </cell>
          <cell r="AV211">
            <v>1</v>
          </cell>
          <cell r="AW211">
            <v>1</v>
          </cell>
          <cell r="AY211">
            <v>1</v>
          </cell>
          <cell r="BC211">
            <v>3</v>
          </cell>
          <cell r="BD211">
            <v>5</v>
          </cell>
          <cell r="BE211">
            <v>4</v>
          </cell>
          <cell r="BF211">
            <v>1</v>
          </cell>
          <cell r="BG211">
            <v>0</v>
          </cell>
          <cell r="BH211">
            <v>0</v>
          </cell>
          <cell r="BI211">
            <v>4</v>
          </cell>
        </row>
        <row r="212">
          <cell r="C212" t="str">
            <v>Vũ Tam Hòa</v>
          </cell>
          <cell r="D212">
            <v>1191</v>
          </cell>
          <cell r="E212" t="str">
            <v>Phó Trưởng bộ môn, CTCĐ</v>
          </cell>
          <cell r="G212">
            <v>1</v>
          </cell>
          <cell r="I212">
            <v>1</v>
          </cell>
          <cell r="N212">
            <v>1</v>
          </cell>
          <cell r="P212">
            <v>1</v>
          </cell>
          <cell r="U212">
            <v>1</v>
          </cell>
          <cell r="V212">
            <v>1</v>
          </cell>
          <cell r="Z212">
            <v>1</v>
          </cell>
          <cell r="AB212">
            <v>1</v>
          </cell>
          <cell r="AC212">
            <v>1</v>
          </cell>
          <cell r="AG212">
            <v>1</v>
          </cell>
          <cell r="AH212">
            <v>1</v>
          </cell>
          <cell r="AI212">
            <v>1</v>
          </cell>
          <cell r="AJ212">
            <v>1</v>
          </cell>
          <cell r="AN212">
            <v>1</v>
          </cell>
          <cell r="AP212">
            <v>1</v>
          </cell>
          <cell r="AQ212">
            <v>1</v>
          </cell>
          <cell r="AU212">
            <v>1</v>
          </cell>
          <cell r="AV212">
            <v>1</v>
          </cell>
          <cell r="AW212">
            <v>1</v>
          </cell>
          <cell r="AY212">
            <v>1</v>
          </cell>
          <cell r="BB212">
            <v>1</v>
          </cell>
          <cell r="BC212">
            <v>2</v>
          </cell>
          <cell r="BD212">
            <v>6</v>
          </cell>
          <cell r="BE212">
            <v>4</v>
          </cell>
          <cell r="BF212">
            <v>2</v>
          </cell>
          <cell r="BG212">
            <v>0</v>
          </cell>
          <cell r="BH212">
            <v>0</v>
          </cell>
          <cell r="BI212">
            <v>5</v>
          </cell>
        </row>
        <row r="213">
          <cell r="C213" t="str">
            <v>Nguyễn Minh Phương</v>
          </cell>
          <cell r="D213">
            <v>1192</v>
          </cell>
          <cell r="G213">
            <v>1</v>
          </cell>
          <cell r="I213">
            <v>1</v>
          </cell>
          <cell r="N213">
            <v>1</v>
          </cell>
          <cell r="P213">
            <v>1</v>
          </cell>
          <cell r="U213">
            <v>1</v>
          </cell>
          <cell r="W213">
            <v>1</v>
          </cell>
          <cell r="AB213">
            <v>1</v>
          </cell>
          <cell r="AD213">
            <v>1</v>
          </cell>
          <cell r="AI213">
            <v>1</v>
          </cell>
          <cell r="AK213">
            <v>1</v>
          </cell>
          <cell r="AP213">
            <v>1</v>
          </cell>
          <cell r="AQ213">
            <v>1</v>
          </cell>
          <cell r="AU213">
            <v>1</v>
          </cell>
          <cell r="AW213">
            <v>1</v>
          </cell>
          <cell r="AY213">
            <v>1</v>
          </cell>
          <cell r="BC213">
            <v>0</v>
          </cell>
          <cell r="BD213">
            <v>6</v>
          </cell>
          <cell r="BE213">
            <v>1</v>
          </cell>
          <cell r="BF213">
            <v>5</v>
          </cell>
          <cell r="BG213">
            <v>0</v>
          </cell>
          <cell r="BH213">
            <v>0</v>
          </cell>
          <cell r="BI213">
            <v>1</v>
          </cell>
        </row>
        <row r="214">
          <cell r="C214" t="str">
            <v>Vũ Thị Hồng Phượng</v>
          </cell>
          <cell r="D214">
            <v>1193</v>
          </cell>
          <cell r="E214" t="str">
            <v>Phó Bí thư Chi bộ</v>
          </cell>
          <cell r="G214">
            <v>1</v>
          </cell>
          <cell r="I214">
            <v>1</v>
          </cell>
          <cell r="N214">
            <v>1</v>
          </cell>
          <cell r="P214">
            <v>1</v>
          </cell>
          <cell r="X214">
            <v>1</v>
          </cell>
          <cell r="AB214">
            <v>1</v>
          </cell>
          <cell r="AD214">
            <v>1</v>
          </cell>
          <cell r="AI214">
            <v>1</v>
          </cell>
          <cell r="AK214">
            <v>1</v>
          </cell>
          <cell r="AP214">
            <v>1</v>
          </cell>
          <cell r="AV214">
            <v>1</v>
          </cell>
          <cell r="AW214">
            <v>1</v>
          </cell>
          <cell r="AY214">
            <v>1</v>
          </cell>
          <cell r="BB214">
            <v>1</v>
          </cell>
          <cell r="BC214">
            <v>1</v>
          </cell>
          <cell r="BD214">
            <v>5</v>
          </cell>
          <cell r="BE214">
            <v>0</v>
          </cell>
          <cell r="BF214">
            <v>4</v>
          </cell>
          <cell r="BG214">
            <v>1</v>
          </cell>
          <cell r="BH214">
            <v>0</v>
          </cell>
          <cell r="BI214">
            <v>1</v>
          </cell>
        </row>
        <row r="215">
          <cell r="C215" t="str">
            <v>Thái Thu Hương</v>
          </cell>
          <cell r="D215">
            <v>1194</v>
          </cell>
          <cell r="G215">
            <v>1</v>
          </cell>
          <cell r="I215">
            <v>1</v>
          </cell>
          <cell r="Q215">
            <v>1</v>
          </cell>
          <cell r="U215">
            <v>1</v>
          </cell>
          <cell r="W215">
            <v>1</v>
          </cell>
          <cell r="AB215">
            <v>1</v>
          </cell>
          <cell r="AC215">
            <v>1</v>
          </cell>
          <cell r="AG215">
            <v>1</v>
          </cell>
          <cell r="AI215">
            <v>1</v>
          </cell>
          <cell r="AJ215">
            <v>1</v>
          </cell>
          <cell r="AN215">
            <v>1</v>
          </cell>
          <cell r="AP215">
            <v>1</v>
          </cell>
          <cell r="AW215">
            <v>1</v>
          </cell>
          <cell r="AY215">
            <v>1</v>
          </cell>
          <cell r="BC215">
            <v>0</v>
          </cell>
          <cell r="BD215">
            <v>5</v>
          </cell>
          <cell r="BE215">
            <v>2</v>
          </cell>
          <cell r="BF215">
            <v>2</v>
          </cell>
          <cell r="BG215">
            <v>1</v>
          </cell>
          <cell r="BH215">
            <v>0</v>
          </cell>
          <cell r="BI215">
            <v>2</v>
          </cell>
        </row>
        <row r="216">
          <cell r="C216" t="str">
            <v>Nguyễn Thị Hương Giang</v>
          </cell>
          <cell r="D216">
            <v>1195</v>
          </cell>
          <cell r="G216">
            <v>1</v>
          </cell>
          <cell r="I216">
            <v>1</v>
          </cell>
          <cell r="N216">
            <v>1</v>
          </cell>
          <cell r="P216">
            <v>1</v>
          </cell>
          <cell r="U216">
            <v>1</v>
          </cell>
          <cell r="V216">
            <v>1</v>
          </cell>
          <cell r="Z216">
            <v>1</v>
          </cell>
          <cell r="AB216">
            <v>1</v>
          </cell>
          <cell r="AC216">
            <v>1</v>
          </cell>
          <cell r="AG216">
            <v>1</v>
          </cell>
          <cell r="AI216">
            <v>1</v>
          </cell>
          <cell r="AJ216">
            <v>1</v>
          </cell>
          <cell r="AN216">
            <v>1</v>
          </cell>
          <cell r="AP216">
            <v>1</v>
          </cell>
          <cell r="AQ216">
            <v>1</v>
          </cell>
          <cell r="AU216">
            <v>1</v>
          </cell>
          <cell r="AW216">
            <v>1</v>
          </cell>
          <cell r="AY216">
            <v>1</v>
          </cell>
          <cell r="BC216">
            <v>0</v>
          </cell>
          <cell r="BD216">
            <v>6</v>
          </cell>
          <cell r="BE216">
            <v>4</v>
          </cell>
          <cell r="BF216">
            <v>2</v>
          </cell>
          <cell r="BG216">
            <v>0</v>
          </cell>
          <cell r="BH216">
            <v>0</v>
          </cell>
          <cell r="BI216">
            <v>4</v>
          </cell>
        </row>
        <row r="217">
          <cell r="C217" t="str">
            <v>Phạm Thị Dự</v>
          </cell>
          <cell r="D217">
            <v>1196</v>
          </cell>
          <cell r="G217">
            <v>1</v>
          </cell>
          <cell r="I217">
            <v>1</v>
          </cell>
          <cell r="N217">
            <v>1</v>
          </cell>
          <cell r="P217">
            <v>1</v>
          </cell>
          <cell r="U217">
            <v>1</v>
          </cell>
          <cell r="V217">
            <v>1</v>
          </cell>
          <cell r="Z217">
            <v>1</v>
          </cell>
          <cell r="AB217">
            <v>1</v>
          </cell>
          <cell r="AC217">
            <v>1</v>
          </cell>
          <cell r="AG217">
            <v>1</v>
          </cell>
          <cell r="AI217">
            <v>1</v>
          </cell>
          <cell r="AJ217">
            <v>1</v>
          </cell>
          <cell r="AN217">
            <v>1</v>
          </cell>
          <cell r="AP217">
            <v>1</v>
          </cell>
          <cell r="AQ217">
            <v>1</v>
          </cell>
          <cell r="AU217">
            <v>1</v>
          </cell>
          <cell r="AW217">
            <v>1</v>
          </cell>
          <cell r="AX217">
            <v>1</v>
          </cell>
          <cell r="BB217">
            <v>1</v>
          </cell>
          <cell r="BC217">
            <v>0</v>
          </cell>
          <cell r="BD217">
            <v>6</v>
          </cell>
          <cell r="BE217">
            <v>5</v>
          </cell>
          <cell r="BF217">
            <v>1</v>
          </cell>
          <cell r="BG217">
            <v>0</v>
          </cell>
          <cell r="BH217">
            <v>0</v>
          </cell>
          <cell r="BI217">
            <v>5</v>
          </cell>
        </row>
        <row r="218">
          <cell r="C218" t="str">
            <v>Đặng Hoàng Anh</v>
          </cell>
          <cell r="D218">
            <v>1197</v>
          </cell>
          <cell r="G218">
            <v>1</v>
          </cell>
          <cell r="H218">
            <v>1</v>
          </cell>
          <cell r="L218">
            <v>1</v>
          </cell>
          <cell r="N218">
            <v>1</v>
          </cell>
          <cell r="O218">
            <v>1</v>
          </cell>
          <cell r="S218">
            <v>1</v>
          </cell>
          <cell r="U218">
            <v>1</v>
          </cell>
          <cell r="V218">
            <v>1</v>
          </cell>
          <cell r="Z218">
            <v>1</v>
          </cell>
          <cell r="AB218">
            <v>1</v>
          </cell>
          <cell r="AC218">
            <v>1</v>
          </cell>
          <cell r="AG218">
            <v>1</v>
          </cell>
          <cell r="AI218">
            <v>1</v>
          </cell>
          <cell r="AJ218">
            <v>1</v>
          </cell>
          <cell r="AN218">
            <v>1</v>
          </cell>
          <cell r="AP218">
            <v>1</v>
          </cell>
          <cell r="AW218">
            <v>1</v>
          </cell>
          <cell r="AY218">
            <v>1</v>
          </cell>
          <cell r="BC218">
            <v>0</v>
          </cell>
          <cell r="BD218">
            <v>6</v>
          </cell>
          <cell r="BE218">
            <v>4</v>
          </cell>
          <cell r="BF218">
            <v>1</v>
          </cell>
          <cell r="BG218">
            <v>0</v>
          </cell>
          <cell r="BH218">
            <v>0</v>
          </cell>
          <cell r="BI218">
            <v>4</v>
          </cell>
        </row>
        <row r="219">
          <cell r="C219" t="str">
            <v>Ngô Ngân Hà</v>
          </cell>
          <cell r="D219">
            <v>1198</v>
          </cell>
          <cell r="F219">
            <v>1</v>
          </cell>
          <cell r="G219">
            <v>1</v>
          </cell>
          <cell r="H219">
            <v>1</v>
          </cell>
          <cell r="L219">
            <v>1</v>
          </cell>
          <cell r="N219">
            <v>1</v>
          </cell>
          <cell r="O219">
            <v>1</v>
          </cell>
          <cell r="S219">
            <v>1</v>
          </cell>
          <cell r="T219">
            <v>1</v>
          </cell>
          <cell r="U219">
            <v>1</v>
          </cell>
          <cell r="V219">
            <v>1</v>
          </cell>
          <cell r="Z219">
            <v>1</v>
          </cell>
          <cell r="AB219">
            <v>1</v>
          </cell>
          <cell r="AC219">
            <v>1</v>
          </cell>
          <cell r="AG219">
            <v>1</v>
          </cell>
          <cell r="AI219">
            <v>1</v>
          </cell>
          <cell r="AJ219">
            <v>1</v>
          </cell>
          <cell r="AN219">
            <v>1</v>
          </cell>
          <cell r="AP219">
            <v>1</v>
          </cell>
          <cell r="AQ219">
            <v>1</v>
          </cell>
          <cell r="AU219">
            <v>1</v>
          </cell>
          <cell r="AW219">
            <v>1</v>
          </cell>
          <cell r="AY219">
            <v>1</v>
          </cell>
          <cell r="BC219">
            <v>1</v>
          </cell>
          <cell r="BD219">
            <v>6</v>
          </cell>
          <cell r="BE219">
            <v>5</v>
          </cell>
          <cell r="BF219">
            <v>1</v>
          </cell>
          <cell r="BG219">
            <v>0</v>
          </cell>
          <cell r="BH219">
            <v>0</v>
          </cell>
          <cell r="BI219">
            <v>5</v>
          </cell>
        </row>
        <row r="220">
          <cell r="C220" t="str">
            <v>Lê Như Quỳnh</v>
          </cell>
          <cell r="D220">
            <v>1199</v>
          </cell>
          <cell r="E220" t="str">
            <v>BTCĐ</v>
          </cell>
          <cell r="G220">
            <v>1</v>
          </cell>
          <cell r="H220">
            <v>1</v>
          </cell>
          <cell r="L220">
            <v>1</v>
          </cell>
          <cell r="N220">
            <v>1</v>
          </cell>
          <cell r="O220">
            <v>1</v>
          </cell>
          <cell r="S220">
            <v>1</v>
          </cell>
          <cell r="U220">
            <v>1</v>
          </cell>
          <cell r="V220">
            <v>1</v>
          </cell>
          <cell r="Z220">
            <v>1</v>
          </cell>
          <cell r="AB220">
            <v>1</v>
          </cell>
          <cell r="AC220">
            <v>1</v>
          </cell>
          <cell r="AG220">
            <v>1</v>
          </cell>
          <cell r="AI220">
            <v>1</v>
          </cell>
          <cell r="AJ220">
            <v>1</v>
          </cell>
          <cell r="AN220">
            <v>1</v>
          </cell>
          <cell r="AP220">
            <v>1</v>
          </cell>
          <cell r="AQ220">
            <v>1</v>
          </cell>
          <cell r="AU220">
            <v>1</v>
          </cell>
          <cell r="AW220">
            <v>1</v>
          </cell>
          <cell r="AY220">
            <v>1</v>
          </cell>
          <cell r="BC220">
            <v>0</v>
          </cell>
          <cell r="BD220">
            <v>6</v>
          </cell>
          <cell r="BE220">
            <v>5</v>
          </cell>
          <cell r="BF220">
            <v>1</v>
          </cell>
          <cell r="BG220">
            <v>0</v>
          </cell>
          <cell r="BH220">
            <v>0</v>
          </cell>
          <cell r="BI220">
            <v>5</v>
          </cell>
        </row>
        <row r="221">
          <cell r="C221" t="str">
            <v>Nguyễn Thị Nguyệt</v>
          </cell>
          <cell r="D221">
            <v>1200</v>
          </cell>
          <cell r="AE221">
            <v>1</v>
          </cell>
          <cell r="AI221">
            <v>1</v>
          </cell>
          <cell r="AK221">
            <v>1</v>
          </cell>
          <cell r="AP221">
            <v>1</v>
          </cell>
          <cell r="AW221">
            <v>1</v>
          </cell>
          <cell r="AX221">
            <v>1</v>
          </cell>
          <cell r="BB221">
            <v>1</v>
          </cell>
          <cell r="BC221">
            <v>0</v>
          </cell>
          <cell r="BD221">
            <v>3</v>
          </cell>
          <cell r="BE221">
            <v>1</v>
          </cell>
          <cell r="BF221">
            <v>1</v>
          </cell>
          <cell r="BG221">
            <v>1</v>
          </cell>
          <cell r="BH221">
            <v>0</v>
          </cell>
          <cell r="BI221">
            <v>1</v>
          </cell>
        </row>
        <row r="222">
          <cell r="C222" t="str">
            <v>Dương Vũ Hằng Nga</v>
          </cell>
          <cell r="D222">
            <v>1201</v>
          </cell>
          <cell r="AK222">
            <v>1</v>
          </cell>
          <cell r="AP222">
            <v>1</v>
          </cell>
          <cell r="AW222">
            <v>1</v>
          </cell>
          <cell r="AY222">
            <v>1</v>
          </cell>
          <cell r="BC222">
            <v>0</v>
          </cell>
          <cell r="BD222">
            <v>2</v>
          </cell>
          <cell r="BE222">
            <v>0</v>
          </cell>
          <cell r="BF222">
            <v>2</v>
          </cell>
          <cell r="BG222">
            <v>0</v>
          </cell>
          <cell r="BH222">
            <v>0</v>
          </cell>
          <cell r="BI222">
            <v>0</v>
          </cell>
        </row>
        <row r="223">
          <cell r="C223" t="str">
            <v>Vũ Thị Yến</v>
          </cell>
          <cell r="D223">
            <v>1225</v>
          </cell>
          <cell r="E223" t="str">
            <v>THNV Phó Trưởng khoa</v>
          </cell>
          <cell r="G223">
            <v>1</v>
          </cell>
          <cell r="I223">
            <v>1</v>
          </cell>
          <cell r="N223">
            <v>1</v>
          </cell>
          <cell r="P223">
            <v>1</v>
          </cell>
          <cell r="U223">
            <v>1</v>
          </cell>
          <cell r="V223">
            <v>1</v>
          </cell>
          <cell r="Z223">
            <v>1</v>
          </cell>
          <cell r="AB223">
            <v>1</v>
          </cell>
          <cell r="AC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BC223">
            <v>3</v>
          </cell>
          <cell r="BD223">
            <v>6</v>
          </cell>
          <cell r="BE223">
            <v>5</v>
          </cell>
          <cell r="BF223">
            <v>1</v>
          </cell>
          <cell r="BG223">
            <v>0</v>
          </cell>
          <cell r="BH223">
            <v>0</v>
          </cell>
          <cell r="BI223">
            <v>4</v>
          </cell>
        </row>
        <row r="224">
          <cell r="C224" t="str">
            <v>Phạm Hà Phương</v>
          </cell>
          <cell r="D224">
            <v>1227</v>
          </cell>
          <cell r="G224">
            <v>1</v>
          </cell>
          <cell r="I224">
            <v>1</v>
          </cell>
          <cell r="N224">
            <v>1</v>
          </cell>
          <cell r="P224">
            <v>1</v>
          </cell>
          <cell r="U224">
            <v>1</v>
          </cell>
          <cell r="W224">
            <v>1</v>
          </cell>
          <cell r="AB224">
            <v>1</v>
          </cell>
          <cell r="AC224">
            <v>1</v>
          </cell>
          <cell r="AG224">
            <v>1</v>
          </cell>
          <cell r="AI224">
            <v>1</v>
          </cell>
          <cell r="AJ224">
            <v>1</v>
          </cell>
          <cell r="AN224">
            <v>1</v>
          </cell>
          <cell r="AP224">
            <v>1</v>
          </cell>
          <cell r="AW224">
            <v>1</v>
          </cell>
          <cell r="AY224">
            <v>1</v>
          </cell>
          <cell r="BC224">
            <v>0</v>
          </cell>
          <cell r="BD224">
            <v>6</v>
          </cell>
          <cell r="BE224">
            <v>2</v>
          </cell>
          <cell r="BF224">
            <v>3</v>
          </cell>
          <cell r="BG224">
            <v>0</v>
          </cell>
          <cell r="BH224">
            <v>0</v>
          </cell>
          <cell r="BI224">
            <v>2</v>
          </cell>
        </row>
        <row r="225">
          <cell r="C225" t="str">
            <v>Lê Trọng Nghĩa</v>
          </cell>
          <cell r="D225">
            <v>1228</v>
          </cell>
          <cell r="U225">
            <v>1</v>
          </cell>
          <cell r="W225">
            <v>1</v>
          </cell>
          <cell r="AB225">
            <v>1</v>
          </cell>
          <cell r="AC225">
            <v>1</v>
          </cell>
          <cell r="AG225">
            <v>1</v>
          </cell>
          <cell r="AI225">
            <v>1</v>
          </cell>
          <cell r="AJ225">
            <v>1</v>
          </cell>
          <cell r="AN225">
            <v>1</v>
          </cell>
          <cell r="AP225">
            <v>1</v>
          </cell>
          <cell r="AQ225">
            <v>1</v>
          </cell>
          <cell r="AU225">
            <v>1</v>
          </cell>
          <cell r="AW225">
            <v>1</v>
          </cell>
          <cell r="AY225">
            <v>1</v>
          </cell>
          <cell r="BC225">
            <v>0</v>
          </cell>
          <cell r="BD225">
            <v>5</v>
          </cell>
          <cell r="BE225">
            <v>3</v>
          </cell>
          <cell r="BF225">
            <v>2</v>
          </cell>
          <cell r="BG225">
            <v>0</v>
          </cell>
          <cell r="BH225">
            <v>0</v>
          </cell>
          <cell r="BI225">
            <v>3</v>
          </cell>
        </row>
        <row r="226">
          <cell r="C226" t="str">
            <v>Lê Trang Nhung</v>
          </cell>
          <cell r="D226">
            <v>1229</v>
          </cell>
          <cell r="AY226">
            <v>1</v>
          </cell>
          <cell r="BC226">
            <v>0</v>
          </cell>
          <cell r="BD226">
            <v>0</v>
          </cell>
          <cell r="BE226">
            <v>0</v>
          </cell>
          <cell r="BF226">
            <v>1</v>
          </cell>
          <cell r="BG226">
            <v>0</v>
          </cell>
          <cell r="BH226">
            <v>0</v>
          </cell>
          <cell r="BI226">
            <v>0</v>
          </cell>
        </row>
        <row r="227">
          <cell r="C227" t="str">
            <v>Lê Nguyễn Diệu Anh</v>
          </cell>
          <cell r="D227">
            <v>1752</v>
          </cell>
          <cell r="AV227">
            <v>1</v>
          </cell>
          <cell r="AW227">
            <v>1</v>
          </cell>
          <cell r="AY227">
            <v>1</v>
          </cell>
          <cell r="BB227">
            <v>1</v>
          </cell>
          <cell r="BC227">
            <v>1</v>
          </cell>
          <cell r="BD227">
            <v>1</v>
          </cell>
          <cell r="BE227">
            <v>0</v>
          </cell>
          <cell r="BF227">
            <v>1</v>
          </cell>
          <cell r="BG227">
            <v>0</v>
          </cell>
          <cell r="BH227">
            <v>0</v>
          </cell>
          <cell r="BI227">
            <v>1</v>
          </cell>
        </row>
        <row r="228">
          <cell r="C228" t="str">
            <v>Nguyễn Thị Tình</v>
          </cell>
          <cell r="D228">
            <v>1553</v>
          </cell>
          <cell r="E228" t="str">
            <v>Trưởng khoa</v>
          </cell>
          <cell r="G228">
            <v>1</v>
          </cell>
          <cell r="H228">
            <v>1</v>
          </cell>
          <cell r="L228">
            <v>1</v>
          </cell>
          <cell r="N228">
            <v>1</v>
          </cell>
          <cell r="O228">
            <v>1</v>
          </cell>
          <cell r="S228">
            <v>1</v>
          </cell>
          <cell r="U228">
            <v>1</v>
          </cell>
          <cell r="V228">
            <v>1</v>
          </cell>
          <cell r="Z228">
            <v>1</v>
          </cell>
          <cell r="AA228">
            <v>1</v>
          </cell>
          <cell r="AB228">
            <v>1</v>
          </cell>
          <cell r="AC228">
            <v>1</v>
          </cell>
          <cell r="AG228">
            <v>1</v>
          </cell>
          <cell r="AI228">
            <v>1</v>
          </cell>
          <cell r="AJ228">
            <v>1</v>
          </cell>
          <cell r="AN228">
            <v>1</v>
          </cell>
          <cell r="AP228">
            <v>1</v>
          </cell>
          <cell r="AV228">
            <v>1</v>
          </cell>
          <cell r="AW228">
            <v>1</v>
          </cell>
          <cell r="AY228">
            <v>1</v>
          </cell>
          <cell r="BB228">
            <v>1</v>
          </cell>
          <cell r="BC228">
            <v>2</v>
          </cell>
          <cell r="BD228">
            <v>6</v>
          </cell>
          <cell r="BE228">
            <v>4</v>
          </cell>
          <cell r="BF228">
            <v>1</v>
          </cell>
          <cell r="BG228">
            <v>0</v>
          </cell>
          <cell r="BH228">
            <v>0</v>
          </cell>
          <cell r="BI228">
            <v>5</v>
          </cell>
        </row>
        <row r="229">
          <cell r="C229" t="str">
            <v>Trần Thị Thu Phương</v>
          </cell>
          <cell r="D229">
            <v>1215</v>
          </cell>
          <cell r="E229" t="str">
            <v>Trưởng bộ môn, CUV</v>
          </cell>
          <cell r="F229">
            <v>1</v>
          </cell>
          <cell r="G229">
            <v>1</v>
          </cell>
          <cell r="H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S229">
            <v>1</v>
          </cell>
          <cell r="U229">
            <v>1</v>
          </cell>
          <cell r="V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G229">
            <v>1</v>
          </cell>
          <cell r="AH229">
            <v>1</v>
          </cell>
          <cell r="AI229">
            <v>1</v>
          </cell>
          <cell r="AJ229">
            <v>1</v>
          </cell>
          <cell r="AN229">
            <v>1</v>
          </cell>
          <cell r="AP229">
            <v>1</v>
          </cell>
          <cell r="AV229">
            <v>1</v>
          </cell>
          <cell r="AW229">
            <v>1</v>
          </cell>
          <cell r="AY229">
            <v>1</v>
          </cell>
          <cell r="BB229">
            <v>1</v>
          </cell>
          <cell r="BC229">
            <v>3</v>
          </cell>
          <cell r="BD229">
            <v>5</v>
          </cell>
          <cell r="BE229">
            <v>3</v>
          </cell>
          <cell r="BF229">
            <v>1</v>
          </cell>
          <cell r="BG229">
            <v>0</v>
          </cell>
          <cell r="BH229">
            <v>0</v>
          </cell>
          <cell r="BI229">
            <v>4</v>
          </cell>
        </row>
        <row r="230">
          <cell r="C230" t="str">
            <v>Đỗ Phương Thảo</v>
          </cell>
          <cell r="D230">
            <v>1216</v>
          </cell>
          <cell r="E230" t="str">
            <v>Phó trưởng khoa</v>
          </cell>
          <cell r="F230">
            <v>1</v>
          </cell>
          <cell r="G230">
            <v>1</v>
          </cell>
          <cell r="H230">
            <v>1</v>
          </cell>
          <cell r="L230">
            <v>1</v>
          </cell>
          <cell r="N230">
            <v>1</v>
          </cell>
          <cell r="P230">
            <v>1</v>
          </cell>
          <cell r="U230">
            <v>1</v>
          </cell>
          <cell r="W230">
            <v>1</v>
          </cell>
          <cell r="AA230">
            <v>1</v>
          </cell>
          <cell r="AB230">
            <v>1</v>
          </cell>
          <cell r="AC230">
            <v>1</v>
          </cell>
          <cell r="AG230">
            <v>1</v>
          </cell>
          <cell r="AI230">
            <v>1</v>
          </cell>
          <cell r="AJ230">
            <v>1</v>
          </cell>
          <cell r="AN230">
            <v>1</v>
          </cell>
          <cell r="AP230">
            <v>1</v>
          </cell>
          <cell r="AQ230">
            <v>1</v>
          </cell>
          <cell r="AU230">
            <v>1</v>
          </cell>
          <cell r="AW230">
            <v>1</v>
          </cell>
          <cell r="AY230">
            <v>1</v>
          </cell>
          <cell r="BC230">
            <v>1</v>
          </cell>
          <cell r="BD230">
            <v>6</v>
          </cell>
          <cell r="BE230">
            <v>3</v>
          </cell>
          <cell r="BF230">
            <v>3</v>
          </cell>
          <cell r="BG230">
            <v>0</v>
          </cell>
          <cell r="BH230">
            <v>0</v>
          </cell>
          <cell r="BI230">
            <v>3</v>
          </cell>
        </row>
        <row r="231">
          <cell r="C231" t="str">
            <v>Phùng Bích Ngọc</v>
          </cell>
          <cell r="D231">
            <v>1221</v>
          </cell>
          <cell r="E231" t="str">
            <v>Phó Trưởng bộ môn</v>
          </cell>
          <cell r="G231">
            <v>1</v>
          </cell>
          <cell r="I231">
            <v>1</v>
          </cell>
          <cell r="M231">
            <v>1</v>
          </cell>
          <cell r="N231">
            <v>1</v>
          </cell>
          <cell r="O231">
            <v>1</v>
          </cell>
          <cell r="S231">
            <v>1</v>
          </cell>
          <cell r="U231">
            <v>1</v>
          </cell>
          <cell r="W231">
            <v>1</v>
          </cell>
          <cell r="AB231">
            <v>1</v>
          </cell>
          <cell r="AD231">
            <v>1</v>
          </cell>
          <cell r="AH231">
            <v>1</v>
          </cell>
          <cell r="AI231">
            <v>1</v>
          </cell>
          <cell r="AJ231">
            <v>1</v>
          </cell>
          <cell r="AN231">
            <v>1</v>
          </cell>
          <cell r="AP231">
            <v>1</v>
          </cell>
          <cell r="AW231">
            <v>1</v>
          </cell>
          <cell r="AY231">
            <v>1</v>
          </cell>
          <cell r="BC231">
            <v>2</v>
          </cell>
          <cell r="BD231">
            <v>6</v>
          </cell>
          <cell r="BE231">
            <v>2</v>
          </cell>
          <cell r="BF231">
            <v>3</v>
          </cell>
          <cell r="BG231">
            <v>0</v>
          </cell>
          <cell r="BH231">
            <v>0</v>
          </cell>
          <cell r="BI231">
            <v>2</v>
          </cell>
        </row>
        <row r="232">
          <cell r="C232" t="str">
            <v>Hoàng Thanh Giang</v>
          </cell>
          <cell r="D232">
            <v>1217</v>
          </cell>
          <cell r="G232">
            <v>1</v>
          </cell>
          <cell r="I232">
            <v>1</v>
          </cell>
          <cell r="N232">
            <v>1</v>
          </cell>
          <cell r="O232">
            <v>1</v>
          </cell>
          <cell r="S232">
            <v>1</v>
          </cell>
          <cell r="U232">
            <v>1</v>
          </cell>
          <cell r="W232">
            <v>1</v>
          </cell>
          <cell r="AB232">
            <v>1</v>
          </cell>
          <cell r="AD232">
            <v>1</v>
          </cell>
          <cell r="AI232">
            <v>1</v>
          </cell>
          <cell r="AK232">
            <v>1</v>
          </cell>
          <cell r="AP232">
            <v>1</v>
          </cell>
          <cell r="AW232">
            <v>1</v>
          </cell>
          <cell r="AX232">
            <v>1</v>
          </cell>
          <cell r="BB232">
            <v>1</v>
          </cell>
          <cell r="BC232">
            <v>0</v>
          </cell>
          <cell r="BD232">
            <v>6</v>
          </cell>
          <cell r="BE232">
            <v>2</v>
          </cell>
          <cell r="BF232">
            <v>3</v>
          </cell>
          <cell r="BG232">
            <v>0</v>
          </cell>
          <cell r="BH232">
            <v>0</v>
          </cell>
          <cell r="BI232">
            <v>2</v>
          </cell>
        </row>
        <row r="233">
          <cell r="C233" t="str">
            <v>Tạ Thị Thuỳ Trang</v>
          </cell>
          <cell r="D233">
            <v>1218</v>
          </cell>
          <cell r="G233">
            <v>1</v>
          </cell>
          <cell r="I233">
            <v>1</v>
          </cell>
          <cell r="N233">
            <v>1</v>
          </cell>
          <cell r="O233">
            <v>1</v>
          </cell>
          <cell r="S233">
            <v>1</v>
          </cell>
          <cell r="U233">
            <v>1</v>
          </cell>
          <cell r="V233">
            <v>1</v>
          </cell>
          <cell r="Z233">
            <v>1</v>
          </cell>
          <cell r="AB233">
            <v>1</v>
          </cell>
          <cell r="AC233">
            <v>1</v>
          </cell>
          <cell r="AG233">
            <v>1</v>
          </cell>
          <cell r="AI233">
            <v>1</v>
          </cell>
          <cell r="AJ233">
            <v>1</v>
          </cell>
          <cell r="AN233">
            <v>1</v>
          </cell>
          <cell r="AP233">
            <v>1</v>
          </cell>
          <cell r="AQ233">
            <v>1</v>
          </cell>
          <cell r="AU233">
            <v>1</v>
          </cell>
          <cell r="AW233">
            <v>1</v>
          </cell>
          <cell r="AY233">
            <v>1</v>
          </cell>
          <cell r="BC233">
            <v>0</v>
          </cell>
          <cell r="BD233">
            <v>6</v>
          </cell>
          <cell r="BE233">
            <v>5</v>
          </cell>
          <cell r="BF233">
            <v>1</v>
          </cell>
          <cell r="BG233">
            <v>0</v>
          </cell>
          <cell r="BH233">
            <v>0</v>
          </cell>
          <cell r="BI233">
            <v>5</v>
          </cell>
        </row>
        <row r="234">
          <cell r="C234" t="str">
            <v>Nguyễn Thị Nguyệt</v>
          </cell>
          <cell r="D234">
            <v>1219</v>
          </cell>
          <cell r="E234" t="str">
            <v xml:space="preserve">                                           </v>
          </cell>
          <cell r="G234">
            <v>1</v>
          </cell>
          <cell r="I234">
            <v>1</v>
          </cell>
          <cell r="N234">
            <v>1</v>
          </cell>
          <cell r="O234">
            <v>1</v>
          </cell>
          <cell r="S234">
            <v>1</v>
          </cell>
          <cell r="U234">
            <v>1</v>
          </cell>
          <cell r="W234">
            <v>1</v>
          </cell>
          <cell r="AB234">
            <v>1</v>
          </cell>
          <cell r="AC234">
            <v>1</v>
          </cell>
          <cell r="AG234">
            <v>1</v>
          </cell>
          <cell r="AI234">
            <v>1</v>
          </cell>
          <cell r="AJ234">
            <v>1</v>
          </cell>
          <cell r="AN234">
            <v>1</v>
          </cell>
          <cell r="AP234">
            <v>1</v>
          </cell>
          <cell r="AQ234">
            <v>1</v>
          </cell>
          <cell r="AU234">
            <v>1</v>
          </cell>
          <cell r="AW234">
            <v>1</v>
          </cell>
          <cell r="AY234">
            <v>1</v>
          </cell>
          <cell r="BC234">
            <v>0</v>
          </cell>
          <cell r="BD234">
            <v>6</v>
          </cell>
          <cell r="BE234">
            <v>4</v>
          </cell>
          <cell r="BF234">
            <v>2</v>
          </cell>
          <cell r="BG234">
            <v>0</v>
          </cell>
          <cell r="BH234">
            <v>0</v>
          </cell>
          <cell r="BI234">
            <v>4</v>
          </cell>
        </row>
        <row r="235">
          <cell r="C235" t="str">
            <v>Nguyễn Thái Trường</v>
          </cell>
          <cell r="D235">
            <v>1222</v>
          </cell>
          <cell r="E235" t="str">
            <v>CTCĐ</v>
          </cell>
          <cell r="G235">
            <v>1</v>
          </cell>
          <cell r="I235">
            <v>1</v>
          </cell>
          <cell r="N235">
            <v>1</v>
          </cell>
          <cell r="P235">
            <v>1</v>
          </cell>
          <cell r="U235">
            <v>1</v>
          </cell>
          <cell r="W235">
            <v>1</v>
          </cell>
          <cell r="AB235">
            <v>1</v>
          </cell>
          <cell r="AD235">
            <v>1</v>
          </cell>
          <cell r="AI235">
            <v>1</v>
          </cell>
          <cell r="AK235">
            <v>1</v>
          </cell>
          <cell r="AO235">
            <v>1</v>
          </cell>
          <cell r="AP235">
            <v>1</v>
          </cell>
          <cell r="AQ235">
            <v>1</v>
          </cell>
          <cell r="AU235">
            <v>1</v>
          </cell>
          <cell r="AW235">
            <v>1</v>
          </cell>
          <cell r="AY235">
            <v>1</v>
          </cell>
          <cell r="BB235">
            <v>1</v>
          </cell>
          <cell r="BC235">
            <v>1</v>
          </cell>
          <cell r="BD235">
            <v>6</v>
          </cell>
          <cell r="BE235">
            <v>1</v>
          </cell>
          <cell r="BF235">
            <v>5</v>
          </cell>
          <cell r="BG235">
            <v>0</v>
          </cell>
          <cell r="BH235">
            <v>0</v>
          </cell>
          <cell r="BI235">
            <v>2</v>
          </cell>
        </row>
        <row r="236">
          <cell r="C236" t="str">
            <v>Nguyễn Thị Ngọc Tú</v>
          </cell>
          <cell r="D236">
            <v>1223</v>
          </cell>
          <cell r="Q236">
            <v>1</v>
          </cell>
          <cell r="U236">
            <v>1</v>
          </cell>
          <cell r="V236">
            <v>1</v>
          </cell>
          <cell r="Z236">
            <v>1</v>
          </cell>
          <cell r="AB236">
            <v>1</v>
          </cell>
          <cell r="AD236">
            <v>1</v>
          </cell>
          <cell r="AI236">
            <v>1</v>
          </cell>
          <cell r="AJ236">
            <v>1</v>
          </cell>
          <cell r="AN236">
            <v>1</v>
          </cell>
          <cell r="AP236">
            <v>1</v>
          </cell>
          <cell r="AQ236">
            <v>1</v>
          </cell>
          <cell r="AU236">
            <v>1</v>
          </cell>
          <cell r="AV236">
            <v>1</v>
          </cell>
          <cell r="AW236">
            <v>1</v>
          </cell>
          <cell r="AY236">
            <v>1</v>
          </cell>
          <cell r="BB236">
            <v>1</v>
          </cell>
          <cell r="BC236">
            <v>1</v>
          </cell>
          <cell r="BD236">
            <v>5</v>
          </cell>
          <cell r="BE236">
            <v>3</v>
          </cell>
          <cell r="BF236">
            <v>2</v>
          </cell>
          <cell r="BG236">
            <v>1</v>
          </cell>
          <cell r="BH236">
            <v>0</v>
          </cell>
          <cell r="BI236">
            <v>4</v>
          </cell>
        </row>
        <row r="237">
          <cell r="C237" t="str">
            <v>Nguyễn Phương Đông</v>
          </cell>
          <cell r="AP237">
            <v>1</v>
          </cell>
          <cell r="BC237">
            <v>0</v>
          </cell>
          <cell r="BD237">
            <v>1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</row>
        <row r="238">
          <cell r="C238" t="str">
            <v>Hồ Thị Thanh Bình</v>
          </cell>
          <cell r="D238">
            <v>1532</v>
          </cell>
          <cell r="G238">
            <v>1</v>
          </cell>
          <cell r="H238">
            <v>1</v>
          </cell>
          <cell r="L238">
            <v>1</v>
          </cell>
          <cell r="M238">
            <v>1</v>
          </cell>
          <cell r="N238">
            <v>1</v>
          </cell>
          <cell r="O238">
            <v>1</v>
          </cell>
          <cell r="S238">
            <v>1</v>
          </cell>
          <cell r="U238">
            <v>1</v>
          </cell>
          <cell r="V238">
            <v>1</v>
          </cell>
          <cell r="Z238">
            <v>1</v>
          </cell>
          <cell r="AB238">
            <v>1</v>
          </cell>
          <cell r="AC238">
            <v>1</v>
          </cell>
          <cell r="AG238">
            <v>1</v>
          </cell>
          <cell r="AI238">
            <v>1</v>
          </cell>
          <cell r="AJ238">
            <v>1</v>
          </cell>
          <cell r="AN238">
            <v>1</v>
          </cell>
          <cell r="AP238">
            <v>1</v>
          </cell>
          <cell r="AW238">
            <v>1</v>
          </cell>
          <cell r="AY238">
            <v>1</v>
          </cell>
          <cell r="BC238">
            <v>1</v>
          </cell>
          <cell r="BD238">
            <v>6</v>
          </cell>
          <cell r="BE238">
            <v>4</v>
          </cell>
          <cell r="BF238">
            <v>1</v>
          </cell>
          <cell r="BG238">
            <v>0</v>
          </cell>
          <cell r="BH238">
            <v>0</v>
          </cell>
          <cell r="BI238">
            <v>4</v>
          </cell>
        </row>
        <row r="239">
          <cell r="C239" t="str">
            <v>Đinh Thị Thanh Thủy</v>
          </cell>
          <cell r="D239">
            <v>1204</v>
          </cell>
          <cell r="E239" t="str">
            <v>Trưởng bộ môn, BTCB</v>
          </cell>
          <cell r="G239">
            <v>1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O239">
            <v>1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Z239">
            <v>1</v>
          </cell>
          <cell r="AA239">
            <v>1</v>
          </cell>
          <cell r="AB239">
            <v>1</v>
          </cell>
          <cell r="AC239">
            <v>1</v>
          </cell>
          <cell r="AG239">
            <v>1</v>
          </cell>
          <cell r="AI239">
            <v>1</v>
          </cell>
          <cell r="AJ239">
            <v>1</v>
          </cell>
          <cell r="AN239">
            <v>1</v>
          </cell>
          <cell r="AP239">
            <v>1</v>
          </cell>
          <cell r="AV239">
            <v>1</v>
          </cell>
          <cell r="AW239">
            <v>1</v>
          </cell>
          <cell r="AY239">
            <v>1</v>
          </cell>
          <cell r="BB239">
            <v>1</v>
          </cell>
          <cell r="BC239">
            <v>4</v>
          </cell>
          <cell r="BD239">
            <v>6</v>
          </cell>
          <cell r="BE239">
            <v>4</v>
          </cell>
          <cell r="BF239">
            <v>1</v>
          </cell>
          <cell r="BG239">
            <v>0</v>
          </cell>
          <cell r="BH239">
            <v>0</v>
          </cell>
          <cell r="BI239">
            <v>5</v>
          </cell>
        </row>
        <row r="240">
          <cell r="C240" t="str">
            <v>Đỗ Thị Hoa</v>
          </cell>
          <cell r="D240">
            <v>1210</v>
          </cell>
          <cell r="E240" t="str">
            <v>Phó Trưởng bộ môn</v>
          </cell>
          <cell r="G240">
            <v>1</v>
          </cell>
          <cell r="I240">
            <v>1</v>
          </cell>
          <cell r="N240">
            <v>1</v>
          </cell>
          <cell r="P240">
            <v>1</v>
          </cell>
          <cell r="U240">
            <v>1</v>
          </cell>
          <cell r="W240">
            <v>1</v>
          </cell>
          <cell r="AB240">
            <v>1</v>
          </cell>
          <cell r="AC240">
            <v>1</v>
          </cell>
          <cell r="AG240">
            <v>1</v>
          </cell>
          <cell r="AI240">
            <v>1</v>
          </cell>
          <cell r="AJ240">
            <v>1</v>
          </cell>
          <cell r="AN240">
            <v>1</v>
          </cell>
          <cell r="AP240">
            <v>1</v>
          </cell>
          <cell r="AW240">
            <v>1</v>
          </cell>
          <cell r="AY240">
            <v>1</v>
          </cell>
          <cell r="BC240">
            <v>0</v>
          </cell>
          <cell r="BD240">
            <v>6</v>
          </cell>
          <cell r="BE240">
            <v>2</v>
          </cell>
          <cell r="BF240">
            <v>3</v>
          </cell>
          <cell r="BG240">
            <v>0</v>
          </cell>
          <cell r="BH240">
            <v>0</v>
          </cell>
          <cell r="BI240">
            <v>2</v>
          </cell>
        </row>
        <row r="241">
          <cell r="C241" t="str">
            <v>Nguyễn Thị Kim Thanh</v>
          </cell>
          <cell r="D241">
            <v>1205</v>
          </cell>
          <cell r="G241">
            <v>1</v>
          </cell>
          <cell r="I241">
            <v>1</v>
          </cell>
          <cell r="N241">
            <v>1</v>
          </cell>
          <cell r="P241">
            <v>1</v>
          </cell>
          <cell r="X241">
            <v>1</v>
          </cell>
          <cell r="AB241">
            <v>1</v>
          </cell>
          <cell r="AD241">
            <v>1</v>
          </cell>
          <cell r="AI241">
            <v>1</v>
          </cell>
          <cell r="AJ241">
            <v>1</v>
          </cell>
          <cell r="AN241">
            <v>1</v>
          </cell>
          <cell r="AP241">
            <v>1</v>
          </cell>
          <cell r="AQ241">
            <v>1</v>
          </cell>
          <cell r="AU241">
            <v>1</v>
          </cell>
          <cell r="AW241">
            <v>1</v>
          </cell>
          <cell r="AX241">
            <v>1</v>
          </cell>
          <cell r="BB241">
            <v>1</v>
          </cell>
          <cell r="BC241">
            <v>0</v>
          </cell>
          <cell r="BD241">
            <v>5</v>
          </cell>
          <cell r="BE241">
            <v>3</v>
          </cell>
          <cell r="BF241">
            <v>2</v>
          </cell>
          <cell r="BG241">
            <v>1</v>
          </cell>
          <cell r="BH241">
            <v>0</v>
          </cell>
          <cell r="BI241">
            <v>3</v>
          </cell>
        </row>
        <row r="242">
          <cell r="C242" t="str">
            <v>Nguyễn Thị Vinh Hương</v>
          </cell>
          <cell r="D242">
            <v>1207</v>
          </cell>
          <cell r="G242">
            <v>1</v>
          </cell>
          <cell r="I242">
            <v>1</v>
          </cell>
          <cell r="N242">
            <v>1</v>
          </cell>
          <cell r="P242">
            <v>1</v>
          </cell>
          <cell r="U242">
            <v>1</v>
          </cell>
          <cell r="W242">
            <v>1</v>
          </cell>
          <cell r="AB242">
            <v>1</v>
          </cell>
          <cell r="AD242">
            <v>1</v>
          </cell>
          <cell r="AI242">
            <v>1</v>
          </cell>
          <cell r="AK242">
            <v>1</v>
          </cell>
          <cell r="AP242">
            <v>1</v>
          </cell>
          <cell r="AQ242">
            <v>1</v>
          </cell>
          <cell r="AU242">
            <v>1</v>
          </cell>
          <cell r="AV242">
            <v>1</v>
          </cell>
          <cell r="AW242">
            <v>1</v>
          </cell>
          <cell r="AY242">
            <v>1</v>
          </cell>
          <cell r="BC242">
            <v>1</v>
          </cell>
          <cell r="BD242">
            <v>6</v>
          </cell>
          <cell r="BE242">
            <v>1</v>
          </cell>
          <cell r="BF242">
            <v>5</v>
          </cell>
          <cell r="BG242">
            <v>0</v>
          </cell>
          <cell r="BH242">
            <v>0</v>
          </cell>
          <cell r="BI242">
            <v>1</v>
          </cell>
        </row>
        <row r="243">
          <cell r="C243" t="str">
            <v>Trần Thị Nguyệt</v>
          </cell>
          <cell r="D243">
            <v>1208</v>
          </cell>
          <cell r="G243">
            <v>1</v>
          </cell>
          <cell r="I243">
            <v>1</v>
          </cell>
          <cell r="N243">
            <v>1</v>
          </cell>
          <cell r="P243">
            <v>1</v>
          </cell>
          <cell r="U243">
            <v>1</v>
          </cell>
          <cell r="W243">
            <v>1</v>
          </cell>
          <cell r="AB243">
            <v>1</v>
          </cell>
          <cell r="AD243">
            <v>1</v>
          </cell>
          <cell r="AI243">
            <v>1</v>
          </cell>
          <cell r="AK243">
            <v>1</v>
          </cell>
          <cell r="AP243">
            <v>1</v>
          </cell>
          <cell r="BA243">
            <v>1</v>
          </cell>
          <cell r="BC243">
            <v>0</v>
          </cell>
          <cell r="BD243">
            <v>5</v>
          </cell>
          <cell r="BE243">
            <v>0</v>
          </cell>
          <cell r="BF243">
            <v>4</v>
          </cell>
          <cell r="BG243">
            <v>0</v>
          </cell>
          <cell r="BH243">
            <v>1</v>
          </cell>
          <cell r="BI243">
            <v>0</v>
          </cell>
        </row>
        <row r="244">
          <cell r="C244" t="str">
            <v>Nguyễn Thanh Hương</v>
          </cell>
          <cell r="J244">
            <v>1</v>
          </cell>
          <cell r="N244">
            <v>1</v>
          </cell>
          <cell r="P244">
            <v>1</v>
          </cell>
          <cell r="U244">
            <v>1</v>
          </cell>
          <cell r="W244">
            <v>1</v>
          </cell>
          <cell r="AB244">
            <v>1</v>
          </cell>
          <cell r="AD244">
            <v>1</v>
          </cell>
          <cell r="AI244">
            <v>1</v>
          </cell>
          <cell r="AK244">
            <v>1</v>
          </cell>
          <cell r="AP244">
            <v>1</v>
          </cell>
          <cell r="BC244">
            <v>0</v>
          </cell>
          <cell r="BD244">
            <v>5</v>
          </cell>
          <cell r="BE244">
            <v>0</v>
          </cell>
          <cell r="BF244">
            <v>4</v>
          </cell>
          <cell r="BG244">
            <v>0</v>
          </cell>
          <cell r="BH244">
            <v>0</v>
          </cell>
          <cell r="BI244">
            <v>0</v>
          </cell>
        </row>
        <row r="245">
          <cell r="C245" t="str">
            <v>Phạm Minh Quốc</v>
          </cell>
          <cell r="D245">
            <v>1211</v>
          </cell>
          <cell r="G245">
            <v>1</v>
          </cell>
          <cell r="I245">
            <v>1</v>
          </cell>
          <cell r="L245">
            <v>1</v>
          </cell>
          <cell r="N245">
            <v>1</v>
          </cell>
          <cell r="P245">
            <v>1</v>
          </cell>
          <cell r="U245">
            <v>1</v>
          </cell>
          <cell r="V245">
            <v>1</v>
          </cell>
          <cell r="Z245">
            <v>1</v>
          </cell>
          <cell r="AB245">
            <v>1</v>
          </cell>
          <cell r="AC245">
            <v>1</v>
          </cell>
          <cell r="AG245">
            <v>1</v>
          </cell>
          <cell r="AI245">
            <v>1</v>
          </cell>
          <cell r="AJ245">
            <v>1</v>
          </cell>
          <cell r="AN245">
            <v>1</v>
          </cell>
          <cell r="AP245">
            <v>1</v>
          </cell>
          <cell r="AQ245">
            <v>1</v>
          </cell>
          <cell r="AU245">
            <v>1</v>
          </cell>
          <cell r="AW245">
            <v>1</v>
          </cell>
          <cell r="AY245">
            <v>1</v>
          </cell>
          <cell r="BC245">
            <v>0</v>
          </cell>
          <cell r="BD245">
            <v>6</v>
          </cell>
          <cell r="BE245">
            <v>4</v>
          </cell>
          <cell r="BF245">
            <v>2</v>
          </cell>
          <cell r="BG245">
            <v>0</v>
          </cell>
          <cell r="BH245">
            <v>0</v>
          </cell>
          <cell r="BI245">
            <v>4</v>
          </cell>
        </row>
        <row r="246">
          <cell r="C246" t="str">
            <v>Đinh Thị Ngọc Hà</v>
          </cell>
          <cell r="D246">
            <v>1212</v>
          </cell>
          <cell r="G246">
            <v>1</v>
          </cell>
          <cell r="I246">
            <v>1</v>
          </cell>
          <cell r="N246">
            <v>1</v>
          </cell>
          <cell r="P246">
            <v>1</v>
          </cell>
          <cell r="U246">
            <v>1</v>
          </cell>
          <cell r="W246">
            <v>1</v>
          </cell>
          <cell r="AB246">
            <v>1</v>
          </cell>
          <cell r="AD246">
            <v>1</v>
          </cell>
          <cell r="AI246">
            <v>1</v>
          </cell>
          <cell r="AK246">
            <v>1</v>
          </cell>
          <cell r="AP246">
            <v>1</v>
          </cell>
          <cell r="AW246">
            <v>1</v>
          </cell>
          <cell r="AX246">
            <v>1</v>
          </cell>
          <cell r="BB246">
            <v>1</v>
          </cell>
          <cell r="BC246">
            <v>0</v>
          </cell>
          <cell r="BD246">
            <v>6</v>
          </cell>
          <cell r="BE246">
            <v>1</v>
          </cell>
          <cell r="BF246">
            <v>4</v>
          </cell>
          <cell r="BG246">
            <v>0</v>
          </cell>
          <cell r="BH246">
            <v>0</v>
          </cell>
          <cell r="BI246">
            <v>1</v>
          </cell>
        </row>
        <row r="247">
          <cell r="C247" t="str">
            <v>Trần Hạnh Linh</v>
          </cell>
          <cell r="D247">
            <v>1213</v>
          </cell>
          <cell r="AB247">
            <v>1</v>
          </cell>
          <cell r="AD247">
            <v>1</v>
          </cell>
          <cell r="AI247">
            <v>1</v>
          </cell>
          <cell r="AJ247">
            <v>1</v>
          </cell>
          <cell r="AN247">
            <v>1</v>
          </cell>
          <cell r="AO247">
            <v>1</v>
          </cell>
          <cell r="AP247">
            <v>1</v>
          </cell>
          <cell r="AQ247">
            <v>1</v>
          </cell>
          <cell r="AU247">
            <v>1</v>
          </cell>
          <cell r="AW247">
            <v>1</v>
          </cell>
          <cell r="AY247">
            <v>1</v>
          </cell>
          <cell r="BC247">
            <v>1</v>
          </cell>
          <cell r="BD247">
            <v>4</v>
          </cell>
          <cell r="BE247">
            <v>2</v>
          </cell>
          <cell r="BF247">
            <v>2</v>
          </cell>
          <cell r="BG247">
            <v>0</v>
          </cell>
          <cell r="BH247">
            <v>0</v>
          </cell>
          <cell r="BI247">
            <v>2</v>
          </cell>
        </row>
        <row r="248">
          <cell r="C248" t="str">
            <v>Hoàng Đắc Quý</v>
          </cell>
          <cell r="D248">
            <v>1214</v>
          </cell>
          <cell r="AP248">
            <v>1</v>
          </cell>
          <cell r="AW248">
            <v>1</v>
          </cell>
          <cell r="AY248">
            <v>1</v>
          </cell>
          <cell r="BC248">
            <v>0</v>
          </cell>
          <cell r="BD248">
            <v>2</v>
          </cell>
          <cell r="BE248">
            <v>0</v>
          </cell>
          <cell r="BF248">
            <v>1</v>
          </cell>
          <cell r="BG248">
            <v>0</v>
          </cell>
          <cell r="BH248">
            <v>0</v>
          </cell>
          <cell r="BI248">
            <v>0</v>
          </cell>
        </row>
        <row r="249">
          <cell r="C249" t="str">
            <v>Đặng Minh Anh</v>
          </cell>
          <cell r="D249">
            <v>1764</v>
          </cell>
          <cell r="AW249">
            <v>1</v>
          </cell>
          <cell r="AY249">
            <v>1</v>
          </cell>
          <cell r="BC249">
            <v>0</v>
          </cell>
          <cell r="BD249">
            <v>1</v>
          </cell>
          <cell r="BE249">
            <v>0</v>
          </cell>
          <cell r="BF249">
            <v>1</v>
          </cell>
          <cell r="BG249">
            <v>0</v>
          </cell>
          <cell r="BH249">
            <v>0</v>
          </cell>
          <cell r="BI249">
            <v>0</v>
          </cell>
        </row>
        <row r="250">
          <cell r="C250" t="str">
            <v>Phạm Tuấn Anh</v>
          </cell>
          <cell r="D250">
            <v>1245</v>
          </cell>
          <cell r="E250" t="str">
            <v>Trưởng khoa,  BTCB,</v>
          </cell>
          <cell r="G250">
            <v>1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O250">
            <v>1</v>
          </cell>
          <cell r="S250">
            <v>1</v>
          </cell>
          <cell r="T250">
            <v>1</v>
          </cell>
          <cell r="U250">
            <v>1</v>
          </cell>
          <cell r="V250">
            <v>1</v>
          </cell>
          <cell r="Z250">
            <v>1</v>
          </cell>
          <cell r="AA250">
            <v>1</v>
          </cell>
          <cell r="AB250">
            <v>1</v>
          </cell>
          <cell r="AC250">
            <v>1</v>
          </cell>
          <cell r="AG250">
            <v>1</v>
          </cell>
          <cell r="AH250">
            <v>1</v>
          </cell>
          <cell r="AI250">
            <v>1</v>
          </cell>
          <cell r="AJ250">
            <v>1</v>
          </cell>
          <cell r="AN250">
            <v>1</v>
          </cell>
          <cell r="AP250">
            <v>1</v>
          </cell>
          <cell r="AW250">
            <v>1</v>
          </cell>
          <cell r="AY250">
            <v>1</v>
          </cell>
          <cell r="BC250">
            <v>4</v>
          </cell>
          <cell r="BD250">
            <v>6</v>
          </cell>
          <cell r="BE250">
            <v>4</v>
          </cell>
          <cell r="BF250">
            <v>1</v>
          </cell>
          <cell r="BG250">
            <v>0</v>
          </cell>
          <cell r="BH250">
            <v>0</v>
          </cell>
          <cell r="BI250">
            <v>4</v>
          </cell>
        </row>
        <row r="251">
          <cell r="C251" t="str">
            <v>Nguyễn Minh Thảo</v>
          </cell>
          <cell r="D251">
            <v>1246</v>
          </cell>
          <cell r="E251" t="str">
            <v>Phó BM THNV TrưởngBM</v>
          </cell>
          <cell r="G251">
            <v>1</v>
          </cell>
          <cell r="I251">
            <v>1</v>
          </cell>
          <cell r="N251">
            <v>1</v>
          </cell>
          <cell r="P251">
            <v>1</v>
          </cell>
          <cell r="U251">
            <v>1</v>
          </cell>
          <cell r="V251">
            <v>1</v>
          </cell>
          <cell r="Z251">
            <v>1</v>
          </cell>
          <cell r="AB251">
            <v>1</v>
          </cell>
          <cell r="AC251">
            <v>1</v>
          </cell>
          <cell r="AG251">
            <v>1</v>
          </cell>
          <cell r="AI251">
            <v>1</v>
          </cell>
          <cell r="AJ251">
            <v>1</v>
          </cell>
          <cell r="AN251">
            <v>1</v>
          </cell>
          <cell r="AP251">
            <v>1</v>
          </cell>
          <cell r="AZ251">
            <v>1</v>
          </cell>
          <cell r="BC251">
            <v>0</v>
          </cell>
          <cell r="BD251">
            <v>5</v>
          </cell>
          <cell r="BE251">
            <v>3</v>
          </cell>
          <cell r="BF251">
            <v>1</v>
          </cell>
          <cell r="BG251">
            <v>1</v>
          </cell>
          <cell r="BH251">
            <v>0</v>
          </cell>
          <cell r="BI251">
            <v>3</v>
          </cell>
        </row>
        <row r="252">
          <cell r="C252" t="str">
            <v>Lê Kim Anh</v>
          </cell>
          <cell r="D252">
            <v>1244</v>
          </cell>
          <cell r="G252">
            <v>1</v>
          </cell>
          <cell r="I252">
            <v>1</v>
          </cell>
          <cell r="N252">
            <v>1</v>
          </cell>
          <cell r="P252">
            <v>1</v>
          </cell>
          <cell r="U252">
            <v>1</v>
          </cell>
          <cell r="W252">
            <v>1</v>
          </cell>
          <cell r="AB252">
            <v>1</v>
          </cell>
          <cell r="AC252">
            <v>1</v>
          </cell>
          <cell r="AG252">
            <v>1</v>
          </cell>
          <cell r="AI252">
            <v>1</v>
          </cell>
          <cell r="AJ252">
            <v>1</v>
          </cell>
          <cell r="AN252">
            <v>1</v>
          </cell>
          <cell r="AP252">
            <v>1</v>
          </cell>
          <cell r="AQ252">
            <v>1</v>
          </cell>
          <cell r="AU252">
            <v>1</v>
          </cell>
          <cell r="AW252">
            <v>1</v>
          </cell>
          <cell r="AY252">
            <v>1</v>
          </cell>
          <cell r="BC252">
            <v>0</v>
          </cell>
          <cell r="BD252">
            <v>6</v>
          </cell>
          <cell r="BE252">
            <v>3</v>
          </cell>
          <cell r="BF252">
            <v>3</v>
          </cell>
          <cell r="BG252">
            <v>0</v>
          </cell>
          <cell r="BH252">
            <v>0</v>
          </cell>
          <cell r="BI252">
            <v>3</v>
          </cell>
        </row>
        <row r="253">
          <cell r="C253" t="str">
            <v>Nguyễn Thị Liên Hương</v>
          </cell>
          <cell r="D253">
            <v>1247</v>
          </cell>
          <cell r="G253">
            <v>1</v>
          </cell>
          <cell r="H253">
            <v>1</v>
          </cell>
          <cell r="L253">
            <v>1</v>
          </cell>
          <cell r="N253">
            <v>1</v>
          </cell>
          <cell r="O253">
            <v>1</v>
          </cell>
          <cell r="S253">
            <v>1</v>
          </cell>
          <cell r="U253">
            <v>1</v>
          </cell>
          <cell r="V253">
            <v>1</v>
          </cell>
          <cell r="Z253">
            <v>1</v>
          </cell>
          <cell r="AB253">
            <v>1</v>
          </cell>
          <cell r="AC253">
            <v>1</v>
          </cell>
          <cell r="AG253">
            <v>1</v>
          </cell>
          <cell r="AI253">
            <v>1</v>
          </cell>
          <cell r="AJ253">
            <v>1</v>
          </cell>
          <cell r="AN253">
            <v>1</v>
          </cell>
          <cell r="AO253">
            <v>1</v>
          </cell>
          <cell r="AP253">
            <v>1</v>
          </cell>
          <cell r="AQ253">
            <v>1</v>
          </cell>
          <cell r="AU253">
            <v>1</v>
          </cell>
          <cell r="AW253">
            <v>1</v>
          </cell>
          <cell r="AX253">
            <v>1</v>
          </cell>
          <cell r="BB253">
            <v>1</v>
          </cell>
          <cell r="BC253">
            <v>1</v>
          </cell>
          <cell r="BD253">
            <v>6</v>
          </cell>
          <cell r="BE253">
            <v>6</v>
          </cell>
          <cell r="BF253">
            <v>0</v>
          </cell>
          <cell r="BG253">
            <v>0</v>
          </cell>
          <cell r="BH253">
            <v>0</v>
          </cell>
          <cell r="BI253">
            <v>6</v>
          </cell>
        </row>
        <row r="254">
          <cell r="C254" t="str">
            <v>Nguyễn Việt Bình</v>
          </cell>
          <cell r="D254">
            <v>1248</v>
          </cell>
          <cell r="G254">
            <v>1</v>
          </cell>
          <cell r="I254">
            <v>1</v>
          </cell>
          <cell r="N254">
            <v>1</v>
          </cell>
          <cell r="P254">
            <v>1</v>
          </cell>
          <cell r="U254">
            <v>1</v>
          </cell>
          <cell r="W254">
            <v>1</v>
          </cell>
          <cell r="AB254">
            <v>1</v>
          </cell>
          <cell r="AD254">
            <v>1</v>
          </cell>
          <cell r="AI254">
            <v>1</v>
          </cell>
          <cell r="AK254">
            <v>1</v>
          </cell>
          <cell r="AW254">
            <v>1</v>
          </cell>
          <cell r="AY254">
            <v>1</v>
          </cell>
          <cell r="BC254">
            <v>0</v>
          </cell>
          <cell r="BD254">
            <v>5</v>
          </cell>
          <cell r="BE254">
            <v>0</v>
          </cell>
          <cell r="BF254">
            <v>5</v>
          </cell>
          <cell r="BG254">
            <v>0</v>
          </cell>
          <cell r="BH254">
            <v>0</v>
          </cell>
          <cell r="BI254">
            <v>0</v>
          </cell>
        </row>
        <row r="255">
          <cell r="C255" t="str">
            <v>Đàm Thị Thanh Huyền</v>
          </cell>
          <cell r="D255">
            <v>1249</v>
          </cell>
          <cell r="E255" t="str">
            <v>Trưởng bộ môn</v>
          </cell>
          <cell r="G255">
            <v>1</v>
          </cell>
          <cell r="H255">
            <v>1</v>
          </cell>
          <cell r="L255">
            <v>1</v>
          </cell>
          <cell r="N255">
            <v>1</v>
          </cell>
          <cell r="O255">
            <v>1</v>
          </cell>
          <cell r="S255">
            <v>1</v>
          </cell>
          <cell r="U255">
            <v>1</v>
          </cell>
          <cell r="V255">
            <v>1</v>
          </cell>
          <cell r="Z255">
            <v>1</v>
          </cell>
          <cell r="AA255">
            <v>1</v>
          </cell>
          <cell r="AB255">
            <v>1</v>
          </cell>
          <cell r="AC255">
            <v>1</v>
          </cell>
          <cell r="AG255">
            <v>1</v>
          </cell>
          <cell r="AI255">
            <v>1</v>
          </cell>
          <cell r="AJ255">
            <v>1</v>
          </cell>
          <cell r="AN255">
            <v>1</v>
          </cell>
          <cell r="AP255">
            <v>1</v>
          </cell>
          <cell r="AQ255">
            <v>1</v>
          </cell>
          <cell r="AU255">
            <v>1</v>
          </cell>
          <cell r="AV255">
            <v>1</v>
          </cell>
          <cell r="AW255">
            <v>1</v>
          </cell>
          <cell r="AY255">
            <v>1</v>
          </cell>
          <cell r="BB255">
            <v>1</v>
          </cell>
          <cell r="BC255">
            <v>2</v>
          </cell>
          <cell r="BD255">
            <v>6</v>
          </cell>
          <cell r="BE255">
            <v>5</v>
          </cell>
          <cell r="BF255">
            <v>1</v>
          </cell>
          <cell r="BG255">
            <v>0</v>
          </cell>
          <cell r="BH255">
            <v>0</v>
          </cell>
          <cell r="BI255">
            <v>6</v>
          </cell>
        </row>
        <row r="256">
          <cell r="C256" t="str">
            <v>Đỗ Phương Thảo</v>
          </cell>
          <cell r="D256">
            <v>1250</v>
          </cell>
          <cell r="G256">
            <v>1</v>
          </cell>
          <cell r="H256">
            <v>1</v>
          </cell>
          <cell r="L256">
            <v>1</v>
          </cell>
          <cell r="P256">
            <v>1</v>
          </cell>
          <cell r="U256">
            <v>1</v>
          </cell>
          <cell r="W256">
            <v>1</v>
          </cell>
          <cell r="AB256">
            <v>1</v>
          </cell>
          <cell r="AD256">
            <v>1</v>
          </cell>
          <cell r="AI256">
            <v>1</v>
          </cell>
          <cell r="AJ256">
            <v>1</v>
          </cell>
          <cell r="AN256">
            <v>1</v>
          </cell>
          <cell r="AP256">
            <v>1</v>
          </cell>
          <cell r="AW256">
            <v>1</v>
          </cell>
          <cell r="AY256">
            <v>1</v>
          </cell>
          <cell r="BC256">
            <v>0</v>
          </cell>
          <cell r="BD256">
            <v>5</v>
          </cell>
          <cell r="BE256">
            <v>1</v>
          </cell>
          <cell r="BF256">
            <v>4</v>
          </cell>
          <cell r="BG256">
            <v>0</v>
          </cell>
          <cell r="BH256">
            <v>0</v>
          </cell>
          <cell r="BI256">
            <v>1</v>
          </cell>
        </row>
        <row r="257">
          <cell r="C257" t="str">
            <v>Đặng Thu Trang</v>
          </cell>
          <cell r="D257">
            <v>1251</v>
          </cell>
          <cell r="G257">
            <v>1</v>
          </cell>
          <cell r="H257">
            <v>1</v>
          </cell>
          <cell r="L257">
            <v>1</v>
          </cell>
          <cell r="N257">
            <v>1</v>
          </cell>
          <cell r="O257">
            <v>1</v>
          </cell>
          <cell r="S257">
            <v>1</v>
          </cell>
          <cell r="U257">
            <v>1</v>
          </cell>
          <cell r="V257">
            <v>1</v>
          </cell>
          <cell r="Z257">
            <v>1</v>
          </cell>
          <cell r="AB257">
            <v>1</v>
          </cell>
          <cell r="AC257">
            <v>1</v>
          </cell>
          <cell r="AG257">
            <v>1</v>
          </cell>
          <cell r="AI257">
            <v>1</v>
          </cell>
          <cell r="AJ257">
            <v>1</v>
          </cell>
          <cell r="AN257">
            <v>1</v>
          </cell>
          <cell r="AP257">
            <v>1</v>
          </cell>
          <cell r="AQ257">
            <v>1</v>
          </cell>
          <cell r="AU257">
            <v>1</v>
          </cell>
          <cell r="AW257">
            <v>1</v>
          </cell>
          <cell r="AY257">
            <v>1</v>
          </cell>
          <cell r="BC257">
            <v>0</v>
          </cell>
          <cell r="BD257">
            <v>6</v>
          </cell>
          <cell r="BE257">
            <v>5</v>
          </cell>
          <cell r="BF257">
            <v>1</v>
          </cell>
          <cell r="BG257">
            <v>0</v>
          </cell>
          <cell r="BH257">
            <v>0</v>
          </cell>
          <cell r="BI257">
            <v>5</v>
          </cell>
        </row>
        <row r="258">
          <cell r="C258" t="str">
            <v>Ngô Thùy Dung</v>
          </cell>
          <cell r="D258">
            <v>1252</v>
          </cell>
          <cell r="F258">
            <v>1</v>
          </cell>
          <cell r="G258">
            <v>1</v>
          </cell>
          <cell r="H258">
            <v>1</v>
          </cell>
          <cell r="L258">
            <v>1</v>
          </cell>
          <cell r="N258">
            <v>1</v>
          </cell>
          <cell r="O258">
            <v>1</v>
          </cell>
          <cell r="S258">
            <v>1</v>
          </cell>
          <cell r="U258">
            <v>1</v>
          </cell>
          <cell r="V258">
            <v>1</v>
          </cell>
          <cell r="Z258">
            <v>1</v>
          </cell>
          <cell r="AB258">
            <v>1</v>
          </cell>
          <cell r="AD258">
            <v>1</v>
          </cell>
          <cell r="AI258">
            <v>1</v>
          </cell>
          <cell r="AJ258">
            <v>1</v>
          </cell>
          <cell r="AN258">
            <v>1</v>
          </cell>
          <cell r="AW258">
            <v>1</v>
          </cell>
          <cell r="AY258">
            <v>1</v>
          </cell>
          <cell r="BC258">
            <v>0</v>
          </cell>
          <cell r="BD258">
            <v>5</v>
          </cell>
          <cell r="BE258">
            <v>3</v>
          </cell>
          <cell r="BF258">
            <v>2</v>
          </cell>
          <cell r="BG258">
            <v>0</v>
          </cell>
          <cell r="BH258">
            <v>0</v>
          </cell>
          <cell r="BI258">
            <v>3</v>
          </cell>
        </row>
        <row r="259">
          <cell r="C259" t="str">
            <v>Ngô Thị Ngọc</v>
          </cell>
          <cell r="D259">
            <v>1253</v>
          </cell>
          <cell r="G259">
            <v>1</v>
          </cell>
          <cell r="H259">
            <v>1</v>
          </cell>
          <cell r="L259">
            <v>1</v>
          </cell>
          <cell r="M259">
            <v>1</v>
          </cell>
          <cell r="N259">
            <v>1</v>
          </cell>
          <cell r="O259">
            <v>1</v>
          </cell>
          <cell r="S259">
            <v>1</v>
          </cell>
          <cell r="U259">
            <v>1</v>
          </cell>
          <cell r="V259">
            <v>1</v>
          </cell>
          <cell r="Z259">
            <v>1</v>
          </cell>
          <cell r="AB259">
            <v>1</v>
          </cell>
          <cell r="AD259">
            <v>1</v>
          </cell>
          <cell r="AI259">
            <v>1</v>
          </cell>
          <cell r="AJ259">
            <v>1</v>
          </cell>
          <cell r="AN259">
            <v>1</v>
          </cell>
          <cell r="AP259">
            <v>1</v>
          </cell>
          <cell r="AQ259">
            <v>1</v>
          </cell>
          <cell r="AU259">
            <v>1</v>
          </cell>
          <cell r="AV259">
            <v>1</v>
          </cell>
          <cell r="AW259">
            <v>1</v>
          </cell>
          <cell r="AY259">
            <v>1</v>
          </cell>
          <cell r="BB259">
            <v>1</v>
          </cell>
          <cell r="BC259">
            <v>2</v>
          </cell>
          <cell r="BD259">
            <v>6</v>
          </cell>
          <cell r="BE259">
            <v>4</v>
          </cell>
          <cell r="BF259">
            <v>2</v>
          </cell>
          <cell r="BG259">
            <v>0</v>
          </cell>
          <cell r="BH259">
            <v>0</v>
          </cell>
          <cell r="BI259">
            <v>5</v>
          </cell>
        </row>
        <row r="260">
          <cell r="C260" t="str">
            <v>Nguyễn Ngọc Khánh Linh</v>
          </cell>
          <cell r="D260">
            <v>1254</v>
          </cell>
          <cell r="G260">
            <v>1</v>
          </cell>
          <cell r="I260">
            <v>1</v>
          </cell>
          <cell r="N260">
            <v>1</v>
          </cell>
          <cell r="P260">
            <v>1</v>
          </cell>
          <cell r="U260">
            <v>1</v>
          </cell>
          <cell r="V260">
            <v>1</v>
          </cell>
          <cell r="Z260">
            <v>1</v>
          </cell>
          <cell r="AB260">
            <v>1</v>
          </cell>
          <cell r="AC260">
            <v>1</v>
          </cell>
          <cell r="AG260">
            <v>1</v>
          </cell>
          <cell r="AI260">
            <v>1</v>
          </cell>
          <cell r="AJ260">
            <v>1</v>
          </cell>
          <cell r="AN260">
            <v>1</v>
          </cell>
          <cell r="AP260">
            <v>1</v>
          </cell>
          <cell r="AQ260">
            <v>1</v>
          </cell>
          <cell r="AU260">
            <v>1</v>
          </cell>
          <cell r="AV260">
            <v>1</v>
          </cell>
          <cell r="AW260">
            <v>1</v>
          </cell>
          <cell r="AX260">
            <v>1</v>
          </cell>
          <cell r="BB260">
            <v>1</v>
          </cell>
          <cell r="BC260">
            <v>1</v>
          </cell>
          <cell r="BD260">
            <v>6</v>
          </cell>
          <cell r="BE260">
            <v>5</v>
          </cell>
          <cell r="BF260">
            <v>1</v>
          </cell>
          <cell r="BG260">
            <v>0</v>
          </cell>
          <cell r="BH260">
            <v>0</v>
          </cell>
          <cell r="BI260">
            <v>5</v>
          </cell>
        </row>
        <row r="261">
          <cell r="C261" t="str">
            <v>Nguyễn Minh Nhật Linh</v>
          </cell>
          <cell r="D261">
            <v>1255</v>
          </cell>
          <cell r="AB261">
            <v>1</v>
          </cell>
          <cell r="AD261">
            <v>1</v>
          </cell>
          <cell r="AI261">
            <v>1</v>
          </cell>
          <cell r="AJ261">
            <v>1</v>
          </cell>
          <cell r="AN261">
            <v>1</v>
          </cell>
          <cell r="AW261">
            <v>1</v>
          </cell>
          <cell r="AY261">
            <v>1</v>
          </cell>
          <cell r="BC261">
            <v>0</v>
          </cell>
          <cell r="BD261">
            <v>3</v>
          </cell>
          <cell r="BE261">
            <v>1</v>
          </cell>
          <cell r="BF261">
            <v>2</v>
          </cell>
          <cell r="BG261">
            <v>0</v>
          </cell>
          <cell r="BH261">
            <v>0</v>
          </cell>
          <cell r="BI261">
            <v>1</v>
          </cell>
        </row>
        <row r="262">
          <cell r="C262" t="str">
            <v>Nguyễn Thị Thu Hằng</v>
          </cell>
          <cell r="D262">
            <v>1257</v>
          </cell>
          <cell r="AP262">
            <v>1</v>
          </cell>
          <cell r="AW262">
            <v>1</v>
          </cell>
          <cell r="AY262">
            <v>1</v>
          </cell>
          <cell r="BC262">
            <v>0</v>
          </cell>
          <cell r="BD262">
            <v>2</v>
          </cell>
          <cell r="BE262">
            <v>0</v>
          </cell>
          <cell r="BF262">
            <v>1</v>
          </cell>
          <cell r="BG262">
            <v>0</v>
          </cell>
          <cell r="BH262">
            <v>0</v>
          </cell>
          <cell r="BI262">
            <v>0</v>
          </cell>
        </row>
        <row r="263">
          <cell r="C263" t="str">
            <v>Lê Thị Kim Nhung</v>
          </cell>
          <cell r="D263">
            <v>1230</v>
          </cell>
          <cell r="F263">
            <v>1</v>
          </cell>
          <cell r="G263">
            <v>1</v>
          </cell>
          <cell r="H263">
            <v>1</v>
          </cell>
          <cell r="L263">
            <v>1</v>
          </cell>
          <cell r="N263">
            <v>1</v>
          </cell>
          <cell r="O263">
            <v>1</v>
          </cell>
          <cell r="S263">
            <v>1</v>
          </cell>
          <cell r="U263">
            <v>1</v>
          </cell>
          <cell r="V263">
            <v>1</v>
          </cell>
          <cell r="Z263">
            <v>1</v>
          </cell>
          <cell r="AB263">
            <v>1</v>
          </cell>
          <cell r="AC263">
            <v>1</v>
          </cell>
          <cell r="AG263">
            <v>1</v>
          </cell>
          <cell r="AH263">
            <v>1</v>
          </cell>
          <cell r="AI263">
            <v>1</v>
          </cell>
          <cell r="AJ263">
            <v>1</v>
          </cell>
          <cell r="AN263">
            <v>1</v>
          </cell>
          <cell r="AO263">
            <v>1</v>
          </cell>
          <cell r="AP263">
            <v>1</v>
          </cell>
          <cell r="AQ263">
            <v>1</v>
          </cell>
          <cell r="AU263">
            <v>1</v>
          </cell>
          <cell r="AW263">
            <v>1</v>
          </cell>
          <cell r="AY263">
            <v>1</v>
          </cell>
          <cell r="BC263">
            <v>2</v>
          </cell>
          <cell r="BD263">
            <v>6</v>
          </cell>
          <cell r="BE263">
            <v>5</v>
          </cell>
          <cell r="BF263">
            <v>1</v>
          </cell>
          <cell r="BG263">
            <v>0</v>
          </cell>
          <cell r="BH263">
            <v>0</v>
          </cell>
          <cell r="BI263">
            <v>5</v>
          </cell>
        </row>
        <row r="264">
          <cell r="C264" t="str">
            <v>Nguyễn Thị Minh Hạnh</v>
          </cell>
          <cell r="D264">
            <v>1231</v>
          </cell>
          <cell r="E264" t="str">
            <v>Phó Trưởng khoa, PBTCB</v>
          </cell>
          <cell r="F264">
            <v>1</v>
          </cell>
          <cell r="G264">
            <v>1</v>
          </cell>
          <cell r="H264">
            <v>1</v>
          </cell>
          <cell r="L264">
            <v>1</v>
          </cell>
          <cell r="N264">
            <v>1</v>
          </cell>
          <cell r="O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Z264">
            <v>1</v>
          </cell>
          <cell r="AB264">
            <v>1</v>
          </cell>
          <cell r="AC264">
            <v>1</v>
          </cell>
          <cell r="AG264">
            <v>1</v>
          </cell>
          <cell r="AI264">
            <v>1</v>
          </cell>
          <cell r="AJ264">
            <v>1</v>
          </cell>
          <cell r="AN264">
            <v>1</v>
          </cell>
          <cell r="AP264">
            <v>1</v>
          </cell>
          <cell r="AQ264">
            <v>1</v>
          </cell>
          <cell r="AU264">
            <v>1</v>
          </cell>
          <cell r="AV264">
            <v>1</v>
          </cell>
          <cell r="AW264">
            <v>1</v>
          </cell>
          <cell r="AX264">
            <v>1</v>
          </cell>
          <cell r="BC264">
            <v>2</v>
          </cell>
          <cell r="BD264">
            <v>6</v>
          </cell>
          <cell r="BE264">
            <v>6</v>
          </cell>
          <cell r="BF264">
            <v>0</v>
          </cell>
          <cell r="BG264">
            <v>0</v>
          </cell>
          <cell r="BH264">
            <v>0</v>
          </cell>
          <cell r="BI264">
            <v>5</v>
          </cell>
        </row>
        <row r="265">
          <cell r="C265" t="str">
            <v>Vũ Xuân Dũng</v>
          </cell>
          <cell r="D265">
            <v>1232</v>
          </cell>
          <cell r="E265" t="str">
            <v>Trưởng bộ môn</v>
          </cell>
          <cell r="G265">
            <v>1</v>
          </cell>
          <cell r="H265">
            <v>1</v>
          </cell>
          <cell r="L265">
            <v>1</v>
          </cell>
          <cell r="M265">
            <v>1</v>
          </cell>
          <cell r="N265">
            <v>1</v>
          </cell>
          <cell r="O265">
            <v>1</v>
          </cell>
          <cell r="S265">
            <v>1</v>
          </cell>
          <cell r="U265">
            <v>1</v>
          </cell>
          <cell r="V265">
            <v>1</v>
          </cell>
          <cell r="Z265">
            <v>1</v>
          </cell>
          <cell r="AA265">
            <v>1</v>
          </cell>
          <cell r="AB265">
            <v>1</v>
          </cell>
          <cell r="AC265">
            <v>1</v>
          </cell>
          <cell r="AG265">
            <v>1</v>
          </cell>
          <cell r="AH265">
            <v>1</v>
          </cell>
          <cell r="AI265">
            <v>1</v>
          </cell>
          <cell r="AJ265">
            <v>1</v>
          </cell>
          <cell r="AN265">
            <v>1</v>
          </cell>
          <cell r="AP265">
            <v>1</v>
          </cell>
          <cell r="AQ265">
            <v>1</v>
          </cell>
          <cell r="AV265">
            <v>1</v>
          </cell>
          <cell r="AW265">
            <v>1</v>
          </cell>
          <cell r="AY265">
            <v>1</v>
          </cell>
          <cell r="BB265">
            <v>1</v>
          </cell>
          <cell r="BC265">
            <v>4</v>
          </cell>
          <cell r="BD265">
            <v>6</v>
          </cell>
          <cell r="BE265">
            <v>5</v>
          </cell>
          <cell r="BF265">
            <v>1</v>
          </cell>
          <cell r="BG265">
            <v>0</v>
          </cell>
          <cell r="BH265">
            <v>0</v>
          </cell>
          <cell r="BI265">
            <v>5</v>
          </cell>
        </row>
        <row r="266">
          <cell r="C266" t="str">
            <v>Nguyễn Thanh Huyền</v>
          </cell>
          <cell r="D266">
            <v>1233</v>
          </cell>
          <cell r="E266" t="str">
            <v>Phó Trưởng bộ môn</v>
          </cell>
          <cell r="G266">
            <v>1</v>
          </cell>
          <cell r="H266">
            <v>1</v>
          </cell>
          <cell r="L266">
            <v>1</v>
          </cell>
          <cell r="N266">
            <v>1</v>
          </cell>
          <cell r="O266">
            <v>1</v>
          </cell>
          <cell r="S266">
            <v>1</v>
          </cell>
          <cell r="T266">
            <v>1</v>
          </cell>
          <cell r="U266">
            <v>1</v>
          </cell>
          <cell r="V266">
            <v>1</v>
          </cell>
          <cell r="Z266">
            <v>1</v>
          </cell>
          <cell r="AB266">
            <v>1</v>
          </cell>
          <cell r="AC266">
            <v>1</v>
          </cell>
          <cell r="AG266">
            <v>1</v>
          </cell>
          <cell r="AI266">
            <v>1</v>
          </cell>
          <cell r="AJ266">
            <v>1</v>
          </cell>
          <cell r="AN266">
            <v>1</v>
          </cell>
          <cell r="AP266">
            <v>1</v>
          </cell>
          <cell r="AQ266">
            <v>1</v>
          </cell>
          <cell r="AU266">
            <v>1</v>
          </cell>
          <cell r="AV266">
            <v>1</v>
          </cell>
          <cell r="AW266">
            <v>1</v>
          </cell>
          <cell r="AY266">
            <v>1</v>
          </cell>
          <cell r="BB266">
            <v>1</v>
          </cell>
          <cell r="BC266">
            <v>2</v>
          </cell>
          <cell r="BD266">
            <v>6</v>
          </cell>
          <cell r="BE266">
            <v>5</v>
          </cell>
          <cell r="BF266">
            <v>1</v>
          </cell>
          <cell r="BG266">
            <v>0</v>
          </cell>
          <cell r="BH266">
            <v>0</v>
          </cell>
          <cell r="BI266">
            <v>6</v>
          </cell>
        </row>
        <row r="267">
          <cell r="C267" t="str">
            <v>Nguyễn Thùy Linh</v>
          </cell>
          <cell r="D267">
            <v>1234</v>
          </cell>
          <cell r="G267">
            <v>1</v>
          </cell>
          <cell r="H267">
            <v>1</v>
          </cell>
          <cell r="L267">
            <v>1</v>
          </cell>
          <cell r="N267">
            <v>1</v>
          </cell>
          <cell r="P267">
            <v>1</v>
          </cell>
          <cell r="U267">
            <v>1</v>
          </cell>
          <cell r="V267">
            <v>1</v>
          </cell>
          <cell r="Z267">
            <v>1</v>
          </cell>
          <cell r="AA267">
            <v>1</v>
          </cell>
          <cell r="AB267">
            <v>1</v>
          </cell>
          <cell r="AC267">
            <v>1</v>
          </cell>
          <cell r="AG267">
            <v>1</v>
          </cell>
          <cell r="AI267">
            <v>1</v>
          </cell>
          <cell r="AJ267">
            <v>1</v>
          </cell>
          <cell r="AN267">
            <v>1</v>
          </cell>
          <cell r="AP267">
            <v>1</v>
          </cell>
          <cell r="AQ267">
            <v>1</v>
          </cell>
          <cell r="AU267">
            <v>1</v>
          </cell>
          <cell r="AW267">
            <v>1</v>
          </cell>
          <cell r="AY267">
            <v>1</v>
          </cell>
          <cell r="BC267">
            <v>1</v>
          </cell>
          <cell r="BD267">
            <v>6</v>
          </cell>
          <cell r="BE267">
            <v>4</v>
          </cell>
          <cell r="BF267">
            <v>2</v>
          </cell>
          <cell r="BG267">
            <v>0</v>
          </cell>
          <cell r="BH267">
            <v>0</v>
          </cell>
          <cell r="BI267">
            <v>4</v>
          </cell>
        </row>
        <row r="268">
          <cell r="C268" t="str">
            <v>Đỗ Thị Diên</v>
          </cell>
          <cell r="D268">
            <v>1235</v>
          </cell>
          <cell r="E268" t="str">
            <v>CTCĐ</v>
          </cell>
          <cell r="G268">
            <v>1</v>
          </cell>
          <cell r="I268">
            <v>1</v>
          </cell>
          <cell r="N268">
            <v>1</v>
          </cell>
          <cell r="O268">
            <v>1</v>
          </cell>
          <cell r="S268">
            <v>1</v>
          </cell>
          <cell r="U268">
            <v>1</v>
          </cell>
          <cell r="V268">
            <v>1</v>
          </cell>
          <cell r="Z268">
            <v>1</v>
          </cell>
          <cell r="AB268">
            <v>1</v>
          </cell>
          <cell r="AC268">
            <v>1</v>
          </cell>
          <cell r="AG268">
            <v>1</v>
          </cell>
          <cell r="AI268">
            <v>1</v>
          </cell>
          <cell r="AJ268">
            <v>1</v>
          </cell>
          <cell r="AN268">
            <v>1</v>
          </cell>
          <cell r="AP268">
            <v>1</v>
          </cell>
          <cell r="AW268">
            <v>1</v>
          </cell>
          <cell r="AY268">
            <v>1</v>
          </cell>
          <cell r="BC268">
            <v>0</v>
          </cell>
          <cell r="BD268">
            <v>6</v>
          </cell>
          <cell r="BE268">
            <v>4</v>
          </cell>
          <cell r="BF268">
            <v>1</v>
          </cell>
          <cell r="BG268">
            <v>0</v>
          </cell>
          <cell r="BH268">
            <v>0</v>
          </cell>
          <cell r="BI268">
            <v>4</v>
          </cell>
        </row>
        <row r="269">
          <cell r="C269" t="str">
            <v>Lê Hà Trang</v>
          </cell>
          <cell r="D269">
            <v>1236</v>
          </cell>
          <cell r="G269">
            <v>1</v>
          </cell>
          <cell r="H269">
            <v>1</v>
          </cell>
          <cell r="L269">
            <v>1</v>
          </cell>
          <cell r="M269">
            <v>1</v>
          </cell>
          <cell r="N269">
            <v>1</v>
          </cell>
          <cell r="O269">
            <v>1</v>
          </cell>
          <cell r="S269">
            <v>1</v>
          </cell>
          <cell r="U269">
            <v>1</v>
          </cell>
          <cell r="V269">
            <v>1</v>
          </cell>
          <cell r="Z269">
            <v>1</v>
          </cell>
          <cell r="AB269">
            <v>1</v>
          </cell>
          <cell r="AC269">
            <v>1</v>
          </cell>
          <cell r="AG269">
            <v>1</v>
          </cell>
          <cell r="AI269">
            <v>1</v>
          </cell>
          <cell r="AJ269">
            <v>1</v>
          </cell>
          <cell r="AN269">
            <v>1</v>
          </cell>
          <cell r="AP269">
            <v>1</v>
          </cell>
          <cell r="AW269">
            <v>1</v>
          </cell>
          <cell r="AY269">
            <v>1</v>
          </cell>
          <cell r="BC269">
            <v>1</v>
          </cell>
          <cell r="BD269">
            <v>6</v>
          </cell>
          <cell r="BE269">
            <v>4</v>
          </cell>
          <cell r="BF269">
            <v>1</v>
          </cell>
          <cell r="BG269">
            <v>0</v>
          </cell>
          <cell r="BH269">
            <v>0</v>
          </cell>
          <cell r="BI269">
            <v>4</v>
          </cell>
        </row>
        <row r="270">
          <cell r="C270" t="str">
            <v>Trần Thị Thu Trang</v>
          </cell>
          <cell r="D270">
            <v>1238</v>
          </cell>
          <cell r="G270">
            <v>1</v>
          </cell>
          <cell r="I270">
            <v>1</v>
          </cell>
          <cell r="N270">
            <v>1</v>
          </cell>
          <cell r="O270">
            <v>1</v>
          </cell>
          <cell r="S270">
            <v>1</v>
          </cell>
          <cell r="U270">
            <v>1</v>
          </cell>
          <cell r="V270">
            <v>1</v>
          </cell>
          <cell r="Z270">
            <v>1</v>
          </cell>
          <cell r="AB270">
            <v>1</v>
          </cell>
          <cell r="AC270">
            <v>1</v>
          </cell>
          <cell r="AG270">
            <v>1</v>
          </cell>
          <cell r="AH270">
            <v>1</v>
          </cell>
          <cell r="AI270">
            <v>1</v>
          </cell>
          <cell r="AJ270">
            <v>1</v>
          </cell>
          <cell r="AN270">
            <v>1</v>
          </cell>
          <cell r="AP270">
            <v>1</v>
          </cell>
          <cell r="AQ270">
            <v>1</v>
          </cell>
          <cell r="AU270">
            <v>1</v>
          </cell>
          <cell r="AW270">
            <v>1</v>
          </cell>
          <cell r="AX270">
            <v>1</v>
          </cell>
          <cell r="BB270">
            <v>1</v>
          </cell>
          <cell r="BC270">
            <v>1</v>
          </cell>
          <cell r="BD270">
            <v>6</v>
          </cell>
          <cell r="BE270">
            <v>6</v>
          </cell>
          <cell r="BF270">
            <v>0</v>
          </cell>
          <cell r="BG270">
            <v>0</v>
          </cell>
          <cell r="BH270">
            <v>0</v>
          </cell>
          <cell r="BI270">
            <v>6</v>
          </cell>
        </row>
        <row r="271">
          <cell r="C271" t="str">
            <v>Lê Thanh Huyền</v>
          </cell>
          <cell r="D271">
            <v>1239</v>
          </cell>
          <cell r="E271" t="str">
            <v>BTCĐ</v>
          </cell>
          <cell r="G271">
            <v>1</v>
          </cell>
          <cell r="H271">
            <v>1</v>
          </cell>
          <cell r="L271">
            <v>1</v>
          </cell>
          <cell r="N271">
            <v>1</v>
          </cell>
          <cell r="O271">
            <v>1</v>
          </cell>
          <cell r="S271">
            <v>1</v>
          </cell>
          <cell r="U271">
            <v>1</v>
          </cell>
          <cell r="V271">
            <v>1</v>
          </cell>
          <cell r="Z271">
            <v>1</v>
          </cell>
          <cell r="AB271">
            <v>1</v>
          </cell>
          <cell r="AC271">
            <v>1</v>
          </cell>
          <cell r="AG271">
            <v>1</v>
          </cell>
          <cell r="AI271">
            <v>1</v>
          </cell>
          <cell r="AJ271">
            <v>1</v>
          </cell>
          <cell r="AN271">
            <v>1</v>
          </cell>
          <cell r="AP271">
            <v>1</v>
          </cell>
          <cell r="AQ271">
            <v>1</v>
          </cell>
          <cell r="AU271">
            <v>1</v>
          </cell>
          <cell r="AW271">
            <v>1</v>
          </cell>
          <cell r="AX271">
            <v>1</v>
          </cell>
          <cell r="BB271">
            <v>1</v>
          </cell>
          <cell r="BC271">
            <v>0</v>
          </cell>
          <cell r="BD271">
            <v>6</v>
          </cell>
          <cell r="BE271">
            <v>6</v>
          </cell>
          <cell r="BF271">
            <v>0</v>
          </cell>
          <cell r="BG271">
            <v>0</v>
          </cell>
          <cell r="BH271">
            <v>0</v>
          </cell>
          <cell r="BI271">
            <v>6</v>
          </cell>
        </row>
        <row r="272">
          <cell r="C272" t="str">
            <v>Nguyễn Hương Giang</v>
          </cell>
          <cell r="D272">
            <v>1240</v>
          </cell>
          <cell r="I272">
            <v>1</v>
          </cell>
          <cell r="N272">
            <v>1</v>
          </cell>
          <cell r="O272">
            <v>1</v>
          </cell>
          <cell r="S272">
            <v>1</v>
          </cell>
          <cell r="U272">
            <v>1</v>
          </cell>
          <cell r="V272">
            <v>1</v>
          </cell>
          <cell r="Z272">
            <v>1</v>
          </cell>
          <cell r="AB272">
            <v>1</v>
          </cell>
          <cell r="AC272">
            <v>1</v>
          </cell>
          <cell r="AG272">
            <v>1</v>
          </cell>
          <cell r="AI272">
            <v>1</v>
          </cell>
          <cell r="AJ272">
            <v>1</v>
          </cell>
          <cell r="AN272">
            <v>1</v>
          </cell>
          <cell r="AP272">
            <v>1</v>
          </cell>
          <cell r="AW272">
            <v>1</v>
          </cell>
          <cell r="AY272">
            <v>1</v>
          </cell>
          <cell r="BC272">
            <v>0</v>
          </cell>
          <cell r="BD272">
            <v>6</v>
          </cell>
          <cell r="BE272">
            <v>4</v>
          </cell>
          <cell r="BF272">
            <v>1</v>
          </cell>
          <cell r="BG272">
            <v>0</v>
          </cell>
          <cell r="BH272">
            <v>0</v>
          </cell>
          <cell r="BI272">
            <v>4</v>
          </cell>
        </row>
        <row r="273">
          <cell r="C273" t="str">
            <v>Lê Thùy Dương</v>
          </cell>
          <cell r="D273">
            <v>1241</v>
          </cell>
          <cell r="AI273">
            <v>1</v>
          </cell>
          <cell r="AK273">
            <v>1</v>
          </cell>
          <cell r="AP273">
            <v>1</v>
          </cell>
          <cell r="AW273">
            <v>1</v>
          </cell>
          <cell r="AY273">
            <v>1</v>
          </cell>
          <cell r="BC273">
            <v>0</v>
          </cell>
          <cell r="BD273">
            <v>3</v>
          </cell>
          <cell r="BE273">
            <v>0</v>
          </cell>
          <cell r="BF273">
            <v>2</v>
          </cell>
          <cell r="BG273">
            <v>0</v>
          </cell>
          <cell r="BH273">
            <v>0</v>
          </cell>
          <cell r="BI273">
            <v>0</v>
          </cell>
        </row>
        <row r="274">
          <cell r="C274" t="str">
            <v>Nguyễn Minh Hiền</v>
          </cell>
          <cell r="D274">
            <v>1242</v>
          </cell>
          <cell r="AI274">
            <v>1</v>
          </cell>
          <cell r="AJ274">
            <v>1</v>
          </cell>
          <cell r="AN274">
            <v>1</v>
          </cell>
          <cell r="AP274">
            <v>1</v>
          </cell>
          <cell r="AW274">
            <v>1</v>
          </cell>
          <cell r="AY274">
            <v>1</v>
          </cell>
          <cell r="BC274">
            <v>0</v>
          </cell>
          <cell r="BD274">
            <v>3</v>
          </cell>
          <cell r="BE274">
            <v>1</v>
          </cell>
          <cell r="BF274">
            <v>1</v>
          </cell>
          <cell r="BG274">
            <v>0</v>
          </cell>
          <cell r="BH274">
            <v>0</v>
          </cell>
          <cell r="BI274">
            <v>1</v>
          </cell>
        </row>
        <row r="275">
          <cell r="C275" t="str">
            <v>Trần Thị Hải Yến</v>
          </cell>
          <cell r="D275">
            <v>1243</v>
          </cell>
          <cell r="AI275">
            <v>1</v>
          </cell>
          <cell r="AJ275">
            <v>1</v>
          </cell>
          <cell r="AN275">
            <v>1</v>
          </cell>
          <cell r="AP275">
            <v>1</v>
          </cell>
          <cell r="AW275">
            <v>1</v>
          </cell>
          <cell r="AY275">
            <v>1</v>
          </cell>
          <cell r="BC275">
            <v>0</v>
          </cell>
          <cell r="BD275">
            <v>3</v>
          </cell>
          <cell r="BE275">
            <v>1</v>
          </cell>
          <cell r="BF275">
            <v>1</v>
          </cell>
          <cell r="BG275">
            <v>0</v>
          </cell>
          <cell r="BH275">
            <v>0</v>
          </cell>
          <cell r="BI275">
            <v>1</v>
          </cell>
        </row>
        <row r="276">
          <cell r="C276" t="str">
            <v>Phùng Việt Hà</v>
          </cell>
          <cell r="D276">
            <v>1258</v>
          </cell>
          <cell r="E276" t="str">
            <v>Trưởng bộ môn</v>
          </cell>
          <cell r="F276">
            <v>1</v>
          </cell>
          <cell r="G276">
            <v>1</v>
          </cell>
          <cell r="H276">
            <v>1</v>
          </cell>
          <cell r="L276">
            <v>1</v>
          </cell>
          <cell r="N276">
            <v>1</v>
          </cell>
          <cell r="O276">
            <v>1</v>
          </cell>
          <cell r="S276">
            <v>1</v>
          </cell>
          <cell r="T276">
            <v>1</v>
          </cell>
          <cell r="U276">
            <v>1</v>
          </cell>
          <cell r="V276">
            <v>1</v>
          </cell>
          <cell r="Z276">
            <v>1</v>
          </cell>
          <cell r="AB276">
            <v>1</v>
          </cell>
          <cell r="AC276">
            <v>1</v>
          </cell>
          <cell r="AG276">
            <v>1</v>
          </cell>
          <cell r="AH276">
            <v>1</v>
          </cell>
          <cell r="AI276">
            <v>1</v>
          </cell>
          <cell r="AJ276">
            <v>1</v>
          </cell>
          <cell r="AN276">
            <v>1</v>
          </cell>
          <cell r="AP276">
            <v>1</v>
          </cell>
          <cell r="AV276">
            <v>1</v>
          </cell>
          <cell r="AW276">
            <v>1</v>
          </cell>
          <cell r="AY276">
            <v>1</v>
          </cell>
          <cell r="BB276">
            <v>1</v>
          </cell>
          <cell r="BC276">
            <v>3</v>
          </cell>
          <cell r="BD276">
            <v>6</v>
          </cell>
          <cell r="BE276">
            <v>4</v>
          </cell>
          <cell r="BF276">
            <v>1</v>
          </cell>
          <cell r="BG276">
            <v>0</v>
          </cell>
          <cell r="BH276">
            <v>0</v>
          </cell>
          <cell r="BI276">
            <v>5</v>
          </cell>
        </row>
        <row r="277">
          <cell r="C277" t="str">
            <v>Đặng Thị Minh Nguyệt</v>
          </cell>
          <cell r="D277">
            <v>1259</v>
          </cell>
          <cell r="E277" t="str">
            <v>Phó Trưởng bộ môn</v>
          </cell>
          <cell r="F277">
            <v>1</v>
          </cell>
          <cell r="G277">
            <v>1</v>
          </cell>
          <cell r="H277">
            <v>1</v>
          </cell>
          <cell r="L277">
            <v>1</v>
          </cell>
          <cell r="N277">
            <v>1</v>
          </cell>
          <cell r="O277">
            <v>1</v>
          </cell>
          <cell r="S277">
            <v>1</v>
          </cell>
          <cell r="U277">
            <v>1</v>
          </cell>
          <cell r="V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G277">
            <v>1</v>
          </cell>
          <cell r="AI277">
            <v>1</v>
          </cell>
          <cell r="AJ277">
            <v>1</v>
          </cell>
          <cell r="AN277">
            <v>1</v>
          </cell>
          <cell r="AO277">
            <v>1</v>
          </cell>
          <cell r="AP277">
            <v>1</v>
          </cell>
          <cell r="AQ277">
            <v>1</v>
          </cell>
          <cell r="AU277">
            <v>1</v>
          </cell>
          <cell r="AW277">
            <v>1</v>
          </cell>
          <cell r="AX277">
            <v>1</v>
          </cell>
          <cell r="BB277">
            <v>1</v>
          </cell>
          <cell r="BC277">
            <v>2</v>
          </cell>
          <cell r="BD277">
            <v>6</v>
          </cell>
          <cell r="BE277">
            <v>6</v>
          </cell>
          <cell r="BF277">
            <v>0</v>
          </cell>
          <cell r="BG277">
            <v>0</v>
          </cell>
          <cell r="BH277">
            <v>0</v>
          </cell>
          <cell r="BI277">
            <v>6</v>
          </cell>
        </row>
        <row r="278">
          <cell r="C278" t="str">
            <v>Lê Nam Long</v>
          </cell>
          <cell r="D278">
            <v>1260</v>
          </cell>
          <cell r="G278">
            <v>1</v>
          </cell>
          <cell r="I278">
            <v>1</v>
          </cell>
          <cell r="N278">
            <v>1</v>
          </cell>
          <cell r="P278">
            <v>1</v>
          </cell>
          <cell r="U278">
            <v>1</v>
          </cell>
          <cell r="V278">
            <v>1</v>
          </cell>
          <cell r="Z278">
            <v>1</v>
          </cell>
          <cell r="AB278">
            <v>1</v>
          </cell>
          <cell r="AC278">
            <v>1</v>
          </cell>
          <cell r="AG278">
            <v>1</v>
          </cell>
          <cell r="AI278">
            <v>1</v>
          </cell>
          <cell r="AJ278">
            <v>1</v>
          </cell>
          <cell r="AN278">
            <v>1</v>
          </cell>
          <cell r="AP278">
            <v>1</v>
          </cell>
          <cell r="AW278">
            <v>1</v>
          </cell>
          <cell r="AY278">
            <v>1</v>
          </cell>
          <cell r="BC278">
            <v>0</v>
          </cell>
          <cell r="BD278">
            <v>6</v>
          </cell>
          <cell r="BE278">
            <v>3</v>
          </cell>
          <cell r="BF278">
            <v>2</v>
          </cell>
          <cell r="BG278">
            <v>0</v>
          </cell>
          <cell r="BH278">
            <v>0</v>
          </cell>
          <cell r="BI278">
            <v>3</v>
          </cell>
        </row>
        <row r="279">
          <cell r="C279" t="str">
            <v>Vũ Ngọc Diệp</v>
          </cell>
          <cell r="D279">
            <v>1261</v>
          </cell>
          <cell r="G279">
            <v>1</v>
          </cell>
          <cell r="H279">
            <v>1</v>
          </cell>
          <cell r="L279">
            <v>1</v>
          </cell>
          <cell r="M279">
            <v>1</v>
          </cell>
          <cell r="N279">
            <v>1</v>
          </cell>
          <cell r="P279">
            <v>1</v>
          </cell>
          <cell r="S279">
            <v>1</v>
          </cell>
          <cell r="U279">
            <v>1</v>
          </cell>
          <cell r="V279">
            <v>1</v>
          </cell>
          <cell r="Z279">
            <v>1</v>
          </cell>
          <cell r="AB279">
            <v>1</v>
          </cell>
          <cell r="AC279">
            <v>1</v>
          </cell>
          <cell r="AG279">
            <v>1</v>
          </cell>
          <cell r="AH279">
            <v>1</v>
          </cell>
          <cell r="AI279">
            <v>1</v>
          </cell>
          <cell r="AJ279">
            <v>1</v>
          </cell>
          <cell r="AN279">
            <v>1</v>
          </cell>
          <cell r="AP279">
            <v>1</v>
          </cell>
          <cell r="AQ279">
            <v>1</v>
          </cell>
          <cell r="AU279">
            <v>1</v>
          </cell>
          <cell r="AV279">
            <v>1</v>
          </cell>
          <cell r="AW279">
            <v>1</v>
          </cell>
          <cell r="AY279">
            <v>1</v>
          </cell>
          <cell r="BB279">
            <v>1</v>
          </cell>
          <cell r="BC279">
            <v>2</v>
          </cell>
          <cell r="BD279">
            <v>5</v>
          </cell>
          <cell r="BE279">
            <v>4</v>
          </cell>
          <cell r="BF279">
            <v>1</v>
          </cell>
          <cell r="BG279">
            <v>0</v>
          </cell>
          <cell r="BH279">
            <v>0</v>
          </cell>
          <cell r="BI279">
            <v>5</v>
          </cell>
        </row>
        <row r="280">
          <cell r="C280" t="str">
            <v>Nguyễn Thanh Phương</v>
          </cell>
          <cell r="D280">
            <v>1262</v>
          </cell>
          <cell r="G280">
            <v>1</v>
          </cell>
          <cell r="H280">
            <v>1</v>
          </cell>
          <cell r="L280">
            <v>1</v>
          </cell>
          <cell r="N280">
            <v>1</v>
          </cell>
          <cell r="O280">
            <v>1</v>
          </cell>
          <cell r="S280">
            <v>1</v>
          </cell>
          <cell r="U280">
            <v>1</v>
          </cell>
          <cell r="V280">
            <v>1</v>
          </cell>
          <cell r="Z280">
            <v>1</v>
          </cell>
          <cell r="AB280">
            <v>1</v>
          </cell>
          <cell r="AC280">
            <v>1</v>
          </cell>
          <cell r="AG280">
            <v>1</v>
          </cell>
          <cell r="AI280">
            <v>1</v>
          </cell>
          <cell r="AJ280">
            <v>1</v>
          </cell>
          <cell r="AN280">
            <v>1</v>
          </cell>
          <cell r="AP280">
            <v>1</v>
          </cell>
          <cell r="AQ280">
            <v>1</v>
          </cell>
          <cell r="AU280">
            <v>1</v>
          </cell>
          <cell r="AW280">
            <v>1</v>
          </cell>
          <cell r="AY280">
            <v>1</v>
          </cell>
          <cell r="BC280">
            <v>0</v>
          </cell>
          <cell r="BD280">
            <v>6</v>
          </cell>
          <cell r="BE280">
            <v>5</v>
          </cell>
          <cell r="BF280">
            <v>1</v>
          </cell>
          <cell r="BG280">
            <v>0</v>
          </cell>
          <cell r="BH280">
            <v>0</v>
          </cell>
          <cell r="BI280">
            <v>5</v>
          </cell>
        </row>
        <row r="281">
          <cell r="C281" t="str">
            <v>Lê Đức Tồ</v>
          </cell>
          <cell r="D281">
            <v>1263</v>
          </cell>
          <cell r="G281">
            <v>1</v>
          </cell>
          <cell r="H281">
            <v>1</v>
          </cell>
          <cell r="L281">
            <v>1</v>
          </cell>
          <cell r="N281">
            <v>1</v>
          </cell>
          <cell r="P281">
            <v>1</v>
          </cell>
          <cell r="U281">
            <v>1</v>
          </cell>
          <cell r="W281">
            <v>1</v>
          </cell>
          <cell r="AB281">
            <v>1</v>
          </cell>
          <cell r="AC281">
            <v>1</v>
          </cell>
          <cell r="AG281">
            <v>1</v>
          </cell>
          <cell r="AI281">
            <v>1</v>
          </cell>
          <cell r="AJ281">
            <v>1</v>
          </cell>
          <cell r="AN281">
            <v>1</v>
          </cell>
          <cell r="AP281">
            <v>1</v>
          </cell>
          <cell r="AZ281">
            <v>1</v>
          </cell>
          <cell r="BC281">
            <v>0</v>
          </cell>
          <cell r="BD281">
            <v>5</v>
          </cell>
          <cell r="BE281">
            <v>2</v>
          </cell>
          <cell r="BF281">
            <v>2</v>
          </cell>
          <cell r="BG281">
            <v>1</v>
          </cell>
          <cell r="BH281">
            <v>0</v>
          </cell>
          <cell r="BI281">
            <v>2</v>
          </cell>
        </row>
        <row r="282">
          <cell r="C282" t="str">
            <v>Đặng Thị Lan Phương</v>
          </cell>
          <cell r="D282">
            <v>1264</v>
          </cell>
          <cell r="G282">
            <v>1</v>
          </cell>
          <cell r="I282">
            <v>1</v>
          </cell>
          <cell r="N282">
            <v>1</v>
          </cell>
          <cell r="O282">
            <v>1</v>
          </cell>
          <cell r="S282">
            <v>1</v>
          </cell>
          <cell r="U282">
            <v>1</v>
          </cell>
          <cell r="V282">
            <v>1</v>
          </cell>
          <cell r="Z282">
            <v>1</v>
          </cell>
          <cell r="AB282">
            <v>1</v>
          </cell>
          <cell r="AC282">
            <v>1</v>
          </cell>
          <cell r="AG282">
            <v>1</v>
          </cell>
          <cell r="AI282">
            <v>1</v>
          </cell>
          <cell r="AJ282">
            <v>1</v>
          </cell>
          <cell r="AN282">
            <v>1</v>
          </cell>
          <cell r="AO282">
            <v>1</v>
          </cell>
          <cell r="AP282">
            <v>1</v>
          </cell>
          <cell r="AQ282">
            <v>1</v>
          </cell>
          <cell r="AU282">
            <v>1</v>
          </cell>
          <cell r="AV282">
            <v>1</v>
          </cell>
          <cell r="AW282">
            <v>1</v>
          </cell>
          <cell r="AX282">
            <v>1</v>
          </cell>
          <cell r="BC282">
            <v>2</v>
          </cell>
          <cell r="BD282">
            <v>6</v>
          </cell>
          <cell r="BE282">
            <v>6</v>
          </cell>
          <cell r="BF282">
            <v>0</v>
          </cell>
          <cell r="BG282">
            <v>0</v>
          </cell>
          <cell r="BH282">
            <v>0</v>
          </cell>
          <cell r="BI282">
            <v>5</v>
          </cell>
        </row>
        <row r="283">
          <cell r="C283" t="str">
            <v>Nguyễn Thị Phương Liên</v>
          </cell>
          <cell r="G283">
            <v>1</v>
          </cell>
          <cell r="H283">
            <v>1</v>
          </cell>
          <cell r="L283">
            <v>1</v>
          </cell>
          <cell r="N283">
            <v>1</v>
          </cell>
          <cell r="O283">
            <v>1</v>
          </cell>
          <cell r="S283">
            <v>1</v>
          </cell>
          <cell r="T283">
            <v>1</v>
          </cell>
          <cell r="U283">
            <v>1</v>
          </cell>
          <cell r="V283">
            <v>1</v>
          </cell>
          <cell r="Z283">
            <v>1</v>
          </cell>
          <cell r="AB283">
            <v>1</v>
          </cell>
          <cell r="AC283">
            <v>1</v>
          </cell>
          <cell r="AG283">
            <v>1</v>
          </cell>
          <cell r="AI283">
            <v>1</v>
          </cell>
          <cell r="AJ283">
            <v>1</v>
          </cell>
          <cell r="AN283">
            <v>1</v>
          </cell>
          <cell r="AP283">
            <v>1</v>
          </cell>
          <cell r="BC283">
            <v>1</v>
          </cell>
          <cell r="BD283">
            <v>5</v>
          </cell>
          <cell r="BE283">
            <v>4</v>
          </cell>
          <cell r="BF283">
            <v>0</v>
          </cell>
          <cell r="BG283">
            <v>0</v>
          </cell>
          <cell r="BH283">
            <v>0</v>
          </cell>
          <cell r="BI283">
            <v>4</v>
          </cell>
        </row>
        <row r="284">
          <cell r="C284" t="str">
            <v>Nguyễn Bích Ngọc</v>
          </cell>
          <cell r="D284">
            <v>1266</v>
          </cell>
          <cell r="AB284">
            <v>1</v>
          </cell>
          <cell r="AD284">
            <v>1</v>
          </cell>
          <cell r="AI284">
            <v>1</v>
          </cell>
          <cell r="AJ284">
            <v>1</v>
          </cell>
          <cell r="AN284">
            <v>1</v>
          </cell>
          <cell r="AP284">
            <v>1</v>
          </cell>
          <cell r="AW284">
            <v>1</v>
          </cell>
          <cell r="AY284">
            <v>1</v>
          </cell>
          <cell r="BC284">
            <v>0</v>
          </cell>
          <cell r="BD284">
            <v>4</v>
          </cell>
          <cell r="BE284">
            <v>1</v>
          </cell>
          <cell r="BF284">
            <v>2</v>
          </cell>
          <cell r="BG284">
            <v>0</v>
          </cell>
          <cell r="BH284">
            <v>0</v>
          </cell>
          <cell r="BI284">
            <v>1</v>
          </cell>
        </row>
        <row r="285">
          <cell r="C285" t="str">
            <v>Nguyễn Anh Thư</v>
          </cell>
          <cell r="D285">
            <v>1267</v>
          </cell>
          <cell r="AB285">
            <v>1</v>
          </cell>
          <cell r="AD285">
            <v>1</v>
          </cell>
          <cell r="AI285">
            <v>1</v>
          </cell>
          <cell r="AJ285">
            <v>1</v>
          </cell>
          <cell r="AN285">
            <v>1</v>
          </cell>
          <cell r="AP285">
            <v>1</v>
          </cell>
          <cell r="AW285">
            <v>1</v>
          </cell>
          <cell r="AY285">
            <v>1</v>
          </cell>
          <cell r="BC285">
            <v>0</v>
          </cell>
          <cell r="BD285">
            <v>4</v>
          </cell>
          <cell r="BE285">
            <v>1</v>
          </cell>
          <cell r="BF285">
            <v>2</v>
          </cell>
          <cell r="BG285">
            <v>0</v>
          </cell>
          <cell r="BH285">
            <v>0</v>
          </cell>
          <cell r="BI285">
            <v>1</v>
          </cell>
        </row>
        <row r="286">
          <cell r="C286" t="str">
            <v>Phạm Thu Trang</v>
          </cell>
          <cell r="D286">
            <v>1268</v>
          </cell>
          <cell r="AB286">
            <v>1</v>
          </cell>
          <cell r="AD286">
            <v>1</v>
          </cell>
          <cell r="AI286">
            <v>1</v>
          </cell>
          <cell r="AJ286">
            <v>1</v>
          </cell>
          <cell r="AN286">
            <v>1</v>
          </cell>
          <cell r="AP286">
            <v>1</v>
          </cell>
          <cell r="AW286">
            <v>1</v>
          </cell>
          <cell r="AY286">
            <v>1</v>
          </cell>
          <cell r="BC286">
            <v>0</v>
          </cell>
          <cell r="BD286">
            <v>4</v>
          </cell>
          <cell r="BE286">
            <v>1</v>
          </cell>
          <cell r="BF286">
            <v>2</v>
          </cell>
          <cell r="BG286">
            <v>0</v>
          </cell>
          <cell r="BH286">
            <v>0</v>
          </cell>
          <cell r="BI286">
            <v>1</v>
          </cell>
        </row>
        <row r="287">
          <cell r="C287" t="str">
            <v>Đỗ Thùy Linh</v>
          </cell>
          <cell r="D287">
            <v>1269</v>
          </cell>
          <cell r="AP287">
            <v>1</v>
          </cell>
          <cell r="AW287">
            <v>1</v>
          </cell>
          <cell r="AY287">
            <v>1</v>
          </cell>
          <cell r="BC287">
            <v>0</v>
          </cell>
          <cell r="BD287">
            <v>2</v>
          </cell>
          <cell r="BE287">
            <v>0</v>
          </cell>
          <cell r="BF287">
            <v>1</v>
          </cell>
          <cell r="BG287">
            <v>0</v>
          </cell>
          <cell r="BH287">
            <v>0</v>
          </cell>
          <cell r="BI287">
            <v>0</v>
          </cell>
        </row>
        <row r="288">
          <cell r="C288" t="str">
            <v>Nguyễn Trần Hưng</v>
          </cell>
          <cell r="D288">
            <v>1270</v>
          </cell>
          <cell r="E288" t="str">
            <v>Trưởng khoa, BTCB</v>
          </cell>
          <cell r="F288">
            <v>1</v>
          </cell>
          <cell r="G288">
            <v>1</v>
          </cell>
          <cell r="H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G288">
            <v>1</v>
          </cell>
          <cell r="AH288">
            <v>1</v>
          </cell>
          <cell r="AI288">
            <v>1</v>
          </cell>
          <cell r="AJ288">
            <v>1</v>
          </cell>
          <cell r="AN288">
            <v>1</v>
          </cell>
          <cell r="AO288">
            <v>1</v>
          </cell>
          <cell r="AP288">
            <v>1</v>
          </cell>
          <cell r="AQ288">
            <v>1</v>
          </cell>
          <cell r="AU288">
            <v>1</v>
          </cell>
          <cell r="AV288">
            <v>1</v>
          </cell>
          <cell r="AW288">
            <v>1</v>
          </cell>
          <cell r="AY288">
            <v>1</v>
          </cell>
          <cell r="BB288">
            <v>1</v>
          </cell>
          <cell r="BC288">
            <v>6</v>
          </cell>
          <cell r="BD288">
            <v>6</v>
          </cell>
          <cell r="BE288">
            <v>5</v>
          </cell>
          <cell r="BF288">
            <v>1</v>
          </cell>
          <cell r="BG288">
            <v>0</v>
          </cell>
          <cell r="BH288">
            <v>0</v>
          </cell>
          <cell r="BI288">
            <v>6</v>
          </cell>
        </row>
        <row r="289">
          <cell r="C289" t="str">
            <v>Chử Bá Quyết</v>
          </cell>
          <cell r="D289">
            <v>1271</v>
          </cell>
          <cell r="E289" t="str">
            <v>Trưởng bộ môn</v>
          </cell>
          <cell r="F289">
            <v>1</v>
          </cell>
          <cell r="G289">
            <v>1</v>
          </cell>
          <cell r="H289">
            <v>1</v>
          </cell>
          <cell r="L289">
            <v>1</v>
          </cell>
          <cell r="N289">
            <v>1</v>
          </cell>
          <cell r="O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G289">
            <v>1</v>
          </cell>
          <cell r="AI289">
            <v>1</v>
          </cell>
          <cell r="AJ289">
            <v>1</v>
          </cell>
          <cell r="AN289">
            <v>1</v>
          </cell>
          <cell r="AP289">
            <v>1</v>
          </cell>
          <cell r="AQ289">
            <v>1</v>
          </cell>
          <cell r="AU289">
            <v>1</v>
          </cell>
          <cell r="AV289">
            <v>1</v>
          </cell>
          <cell r="AW289">
            <v>1</v>
          </cell>
          <cell r="AY289">
            <v>1</v>
          </cell>
          <cell r="BB289">
            <v>1</v>
          </cell>
          <cell r="BC289">
            <v>3</v>
          </cell>
          <cell r="BD289">
            <v>6</v>
          </cell>
          <cell r="BE289">
            <v>5</v>
          </cell>
          <cell r="BF289">
            <v>1</v>
          </cell>
          <cell r="BG289">
            <v>0</v>
          </cell>
          <cell r="BH289">
            <v>0</v>
          </cell>
          <cell r="BI289">
            <v>6</v>
          </cell>
        </row>
        <row r="290">
          <cell r="C290" t="str">
            <v>Vũ Thị Thuý Hằng</v>
          </cell>
          <cell r="D290">
            <v>1272</v>
          </cell>
          <cell r="E290" t="str">
            <v>Phó Trưởng bộ môn</v>
          </cell>
          <cell r="G290">
            <v>1</v>
          </cell>
          <cell r="H290">
            <v>1</v>
          </cell>
          <cell r="L290">
            <v>1</v>
          </cell>
          <cell r="M290">
            <v>1</v>
          </cell>
          <cell r="N290">
            <v>1</v>
          </cell>
          <cell r="O290">
            <v>1</v>
          </cell>
          <cell r="S290">
            <v>1</v>
          </cell>
          <cell r="U290">
            <v>1</v>
          </cell>
          <cell r="V290">
            <v>1</v>
          </cell>
          <cell r="Z290">
            <v>1</v>
          </cell>
          <cell r="AB290">
            <v>1</v>
          </cell>
          <cell r="AC290">
            <v>1</v>
          </cell>
          <cell r="AG290">
            <v>1</v>
          </cell>
          <cell r="AI290">
            <v>1</v>
          </cell>
          <cell r="AJ290">
            <v>1</v>
          </cell>
          <cell r="AN290">
            <v>1</v>
          </cell>
          <cell r="AP290">
            <v>1</v>
          </cell>
          <cell r="AQ290">
            <v>1</v>
          </cell>
          <cell r="AU290">
            <v>1</v>
          </cell>
          <cell r="AV290">
            <v>1</v>
          </cell>
          <cell r="AW290">
            <v>1</v>
          </cell>
          <cell r="AY290">
            <v>1</v>
          </cell>
          <cell r="BB290">
            <v>1</v>
          </cell>
          <cell r="BC290">
            <v>2</v>
          </cell>
          <cell r="BD290">
            <v>6</v>
          </cell>
          <cell r="BE290">
            <v>5</v>
          </cell>
          <cell r="BF290">
            <v>1</v>
          </cell>
          <cell r="BG290">
            <v>0</v>
          </cell>
          <cell r="BH290">
            <v>0</v>
          </cell>
          <cell r="BI290">
            <v>6</v>
          </cell>
        </row>
        <row r="291">
          <cell r="C291" t="str">
            <v>Nguyễn Bình Minh</v>
          </cell>
          <cell r="D291">
            <v>1273</v>
          </cell>
          <cell r="E291" t="str">
            <v>Chủ tịch Hội CCB</v>
          </cell>
          <cell r="G291">
            <v>1</v>
          </cell>
          <cell r="I291">
            <v>1</v>
          </cell>
          <cell r="N291">
            <v>1</v>
          </cell>
          <cell r="P291">
            <v>1</v>
          </cell>
          <cell r="X291">
            <v>1</v>
          </cell>
          <cell r="AB291">
            <v>1</v>
          </cell>
          <cell r="AD291">
            <v>1</v>
          </cell>
          <cell r="AI291">
            <v>1</v>
          </cell>
          <cell r="AJ291">
            <v>1</v>
          </cell>
          <cell r="AN291">
            <v>1</v>
          </cell>
          <cell r="AP291">
            <v>1</v>
          </cell>
          <cell r="AW291">
            <v>1</v>
          </cell>
          <cell r="AY291">
            <v>1</v>
          </cell>
          <cell r="BC291">
            <v>0</v>
          </cell>
          <cell r="BD291">
            <v>5</v>
          </cell>
          <cell r="BE291">
            <v>1</v>
          </cell>
          <cell r="BF291">
            <v>3</v>
          </cell>
          <cell r="BG291">
            <v>1</v>
          </cell>
          <cell r="BH291">
            <v>0</v>
          </cell>
          <cell r="BI291">
            <v>1</v>
          </cell>
        </row>
        <row r="292">
          <cell r="C292" t="str">
            <v>Trần Hoài Nam</v>
          </cell>
          <cell r="D292">
            <v>1274</v>
          </cell>
          <cell r="G292">
            <v>1</v>
          </cell>
          <cell r="I292">
            <v>1</v>
          </cell>
          <cell r="N292">
            <v>1</v>
          </cell>
          <cell r="O292">
            <v>1</v>
          </cell>
          <cell r="S292">
            <v>1</v>
          </cell>
          <cell r="U292">
            <v>1</v>
          </cell>
          <cell r="Z292">
            <v>1</v>
          </cell>
          <cell r="AB292">
            <v>1</v>
          </cell>
          <cell r="AC292">
            <v>1</v>
          </cell>
          <cell r="AG292">
            <v>1</v>
          </cell>
          <cell r="AI292">
            <v>1</v>
          </cell>
          <cell r="AK292">
            <v>1</v>
          </cell>
          <cell r="AP292">
            <v>1</v>
          </cell>
          <cell r="AW292">
            <v>1</v>
          </cell>
          <cell r="AY292">
            <v>1</v>
          </cell>
          <cell r="BC292">
            <v>0</v>
          </cell>
          <cell r="BD292">
            <v>5</v>
          </cell>
          <cell r="BE292">
            <v>1</v>
          </cell>
          <cell r="BF292">
            <v>2</v>
          </cell>
          <cell r="BG292">
            <v>0</v>
          </cell>
          <cell r="BH292">
            <v>0</v>
          </cell>
          <cell r="BI292">
            <v>2</v>
          </cell>
        </row>
        <row r="293">
          <cell r="C293" t="str">
            <v>Nguyễn Phan Anh</v>
          </cell>
          <cell r="D293">
            <v>1276</v>
          </cell>
          <cell r="J293">
            <v>1</v>
          </cell>
          <cell r="N293">
            <v>1</v>
          </cell>
          <cell r="P293">
            <v>1</v>
          </cell>
          <cell r="U293">
            <v>1</v>
          </cell>
          <cell r="W293">
            <v>1</v>
          </cell>
          <cell r="AB293">
            <v>1</v>
          </cell>
          <cell r="AD293">
            <v>1</v>
          </cell>
          <cell r="AI293">
            <v>1</v>
          </cell>
          <cell r="AJ293">
            <v>1</v>
          </cell>
          <cell r="AN293">
            <v>1</v>
          </cell>
          <cell r="AP293">
            <v>1</v>
          </cell>
          <cell r="AW293">
            <v>1</v>
          </cell>
          <cell r="AY293">
            <v>1</v>
          </cell>
          <cell r="BC293">
            <v>0</v>
          </cell>
          <cell r="BD293">
            <v>6</v>
          </cell>
          <cell r="BE293">
            <v>1</v>
          </cell>
          <cell r="BF293">
            <v>4</v>
          </cell>
          <cell r="BG293">
            <v>0</v>
          </cell>
          <cell r="BH293">
            <v>0</v>
          </cell>
          <cell r="BI293">
            <v>1</v>
          </cell>
        </row>
        <row r="294">
          <cell r="C294" t="str">
            <v>Lê Xuân Cù</v>
          </cell>
          <cell r="D294">
            <v>1277</v>
          </cell>
          <cell r="E294" t="str">
            <v>BTCĐ</v>
          </cell>
          <cell r="J294">
            <v>1</v>
          </cell>
          <cell r="Q294">
            <v>1</v>
          </cell>
          <cell r="U294">
            <v>1</v>
          </cell>
          <cell r="W294">
            <v>1</v>
          </cell>
          <cell r="AB294">
            <v>1</v>
          </cell>
          <cell r="AC294">
            <v>1</v>
          </cell>
          <cell r="AG294">
            <v>1</v>
          </cell>
          <cell r="AI294">
            <v>1</v>
          </cell>
          <cell r="AJ294">
            <v>1</v>
          </cell>
          <cell r="AN294">
            <v>1</v>
          </cell>
          <cell r="AP294">
            <v>1</v>
          </cell>
          <cell r="AQ294">
            <v>1</v>
          </cell>
          <cell r="AU294">
            <v>1</v>
          </cell>
          <cell r="AW294">
            <v>1</v>
          </cell>
          <cell r="AX294">
            <v>1</v>
          </cell>
          <cell r="BC294">
            <v>0</v>
          </cell>
          <cell r="BD294">
            <v>5</v>
          </cell>
          <cell r="BE294">
            <v>4</v>
          </cell>
          <cell r="BF294">
            <v>1</v>
          </cell>
          <cell r="BG294">
            <v>1</v>
          </cell>
          <cell r="BH294">
            <v>0</v>
          </cell>
          <cell r="BI294">
            <v>3</v>
          </cell>
        </row>
        <row r="295">
          <cell r="C295" t="str">
            <v>Vũ Thị Hải Lý</v>
          </cell>
          <cell r="D295">
            <v>1278</v>
          </cell>
          <cell r="E295" t="str">
            <v>CUV</v>
          </cell>
          <cell r="G295">
            <v>1</v>
          </cell>
          <cell r="H295">
            <v>1</v>
          </cell>
          <cell r="L295">
            <v>1</v>
          </cell>
          <cell r="N295">
            <v>1</v>
          </cell>
          <cell r="O295">
            <v>1</v>
          </cell>
          <cell r="S295">
            <v>1</v>
          </cell>
          <cell r="U295">
            <v>1</v>
          </cell>
          <cell r="V295">
            <v>1</v>
          </cell>
          <cell r="Z295">
            <v>1</v>
          </cell>
          <cell r="AB295">
            <v>1</v>
          </cell>
          <cell r="AC295">
            <v>1</v>
          </cell>
          <cell r="AG295">
            <v>1</v>
          </cell>
          <cell r="AI295">
            <v>1</v>
          </cell>
          <cell r="AJ295">
            <v>1</v>
          </cell>
          <cell r="AN295">
            <v>1</v>
          </cell>
          <cell r="AP295">
            <v>1</v>
          </cell>
          <cell r="AW295">
            <v>1</v>
          </cell>
          <cell r="AY295">
            <v>1</v>
          </cell>
          <cell r="BC295">
            <v>0</v>
          </cell>
          <cell r="BD295">
            <v>6</v>
          </cell>
          <cell r="BE295">
            <v>4</v>
          </cell>
          <cell r="BF295">
            <v>1</v>
          </cell>
          <cell r="BG295">
            <v>0</v>
          </cell>
          <cell r="BH295">
            <v>0</v>
          </cell>
          <cell r="BI295">
            <v>4</v>
          </cell>
        </row>
        <row r="296">
          <cell r="C296" t="str">
            <v xml:space="preserve">Nguyễn Minh Đức </v>
          </cell>
          <cell r="D296">
            <v>1279</v>
          </cell>
          <cell r="G296">
            <v>1</v>
          </cell>
          <cell r="H296">
            <v>1</v>
          </cell>
          <cell r="L296">
            <v>1</v>
          </cell>
          <cell r="N296">
            <v>1</v>
          </cell>
          <cell r="O296">
            <v>1</v>
          </cell>
          <cell r="S296">
            <v>1</v>
          </cell>
          <cell r="U296">
            <v>1</v>
          </cell>
          <cell r="V296">
            <v>1</v>
          </cell>
          <cell r="Z296">
            <v>1</v>
          </cell>
          <cell r="AB296">
            <v>1</v>
          </cell>
          <cell r="AC296">
            <v>1</v>
          </cell>
          <cell r="AG296">
            <v>1</v>
          </cell>
          <cell r="AI296">
            <v>1</v>
          </cell>
          <cell r="AK296">
            <v>1</v>
          </cell>
          <cell r="AP296">
            <v>1</v>
          </cell>
          <cell r="AQ296">
            <v>1</v>
          </cell>
          <cell r="AU296">
            <v>1</v>
          </cell>
          <cell r="AW296">
            <v>1</v>
          </cell>
          <cell r="AY296">
            <v>1</v>
          </cell>
          <cell r="BC296">
            <v>0</v>
          </cell>
          <cell r="BD296">
            <v>6</v>
          </cell>
          <cell r="BE296">
            <v>4</v>
          </cell>
          <cell r="BF296">
            <v>2</v>
          </cell>
          <cell r="BG296">
            <v>0</v>
          </cell>
          <cell r="BH296">
            <v>0</v>
          </cell>
          <cell r="BI296">
            <v>4</v>
          </cell>
        </row>
        <row r="297">
          <cell r="C297" t="str">
            <v>Hoàng Hải Hà</v>
          </cell>
          <cell r="D297">
            <v>1280</v>
          </cell>
          <cell r="G297">
            <v>1</v>
          </cell>
          <cell r="I297">
            <v>1</v>
          </cell>
          <cell r="N297">
            <v>1</v>
          </cell>
          <cell r="O297">
            <v>1</v>
          </cell>
          <cell r="S297">
            <v>1</v>
          </cell>
          <cell r="U297">
            <v>1</v>
          </cell>
          <cell r="V297">
            <v>1</v>
          </cell>
          <cell r="Z297">
            <v>1</v>
          </cell>
          <cell r="AB297">
            <v>1</v>
          </cell>
          <cell r="AC297">
            <v>1</v>
          </cell>
          <cell r="AG297">
            <v>1</v>
          </cell>
          <cell r="AI297">
            <v>1</v>
          </cell>
          <cell r="AJ297">
            <v>1</v>
          </cell>
          <cell r="AN297">
            <v>1</v>
          </cell>
          <cell r="AP297">
            <v>1</v>
          </cell>
          <cell r="AW297">
            <v>1</v>
          </cell>
          <cell r="AY297">
            <v>1</v>
          </cell>
          <cell r="BC297">
            <v>0</v>
          </cell>
          <cell r="BD297">
            <v>6</v>
          </cell>
          <cell r="BE297">
            <v>4</v>
          </cell>
          <cell r="BF297">
            <v>1</v>
          </cell>
          <cell r="BG297">
            <v>0</v>
          </cell>
          <cell r="BH297">
            <v>0</v>
          </cell>
          <cell r="BI297">
            <v>4</v>
          </cell>
        </row>
        <row r="298">
          <cell r="C298" t="str">
            <v>Lê Thị Hoài</v>
          </cell>
          <cell r="D298">
            <v>1281</v>
          </cell>
          <cell r="G298">
            <v>1</v>
          </cell>
          <cell r="I298">
            <v>1</v>
          </cell>
          <cell r="N298">
            <v>1</v>
          </cell>
          <cell r="P298">
            <v>1</v>
          </cell>
          <cell r="U298">
            <v>1</v>
          </cell>
          <cell r="W298">
            <v>1</v>
          </cell>
          <cell r="AB298">
            <v>1</v>
          </cell>
          <cell r="AD298">
            <v>1</v>
          </cell>
          <cell r="AI298">
            <v>1</v>
          </cell>
          <cell r="AJ298">
            <v>1</v>
          </cell>
          <cell r="AN298">
            <v>1</v>
          </cell>
          <cell r="AP298">
            <v>1</v>
          </cell>
          <cell r="AQ298">
            <v>1</v>
          </cell>
          <cell r="AU298">
            <v>1</v>
          </cell>
          <cell r="AW298">
            <v>1</v>
          </cell>
          <cell r="AY298">
            <v>1</v>
          </cell>
          <cell r="BC298">
            <v>0</v>
          </cell>
          <cell r="BD298">
            <v>6</v>
          </cell>
          <cell r="BE298">
            <v>2</v>
          </cell>
          <cell r="BF298">
            <v>4</v>
          </cell>
          <cell r="BG298">
            <v>0</v>
          </cell>
          <cell r="BH298">
            <v>0</v>
          </cell>
          <cell r="BI298">
            <v>2</v>
          </cell>
        </row>
        <row r="299">
          <cell r="C299" t="str">
            <v>Lê Duy Hải</v>
          </cell>
          <cell r="D299">
            <v>1282</v>
          </cell>
          <cell r="G299">
            <v>1</v>
          </cell>
          <cell r="H299">
            <v>1</v>
          </cell>
          <cell r="L299">
            <v>1</v>
          </cell>
          <cell r="N299">
            <v>1</v>
          </cell>
          <cell r="O299">
            <v>1</v>
          </cell>
          <cell r="S299">
            <v>1</v>
          </cell>
          <cell r="U299">
            <v>1</v>
          </cell>
          <cell r="V299">
            <v>1</v>
          </cell>
          <cell r="Z299">
            <v>1</v>
          </cell>
          <cell r="AB299">
            <v>1</v>
          </cell>
          <cell r="AC299">
            <v>1</v>
          </cell>
          <cell r="AG299">
            <v>1</v>
          </cell>
          <cell r="AI299">
            <v>1</v>
          </cell>
          <cell r="AJ299">
            <v>1</v>
          </cell>
          <cell r="AN299">
            <v>1</v>
          </cell>
          <cell r="AP299">
            <v>1</v>
          </cell>
          <cell r="AW299">
            <v>1</v>
          </cell>
          <cell r="AY299">
            <v>1</v>
          </cell>
          <cell r="BC299">
            <v>0</v>
          </cell>
          <cell r="BD299">
            <v>6</v>
          </cell>
          <cell r="BE299">
            <v>4</v>
          </cell>
          <cell r="BF299">
            <v>1</v>
          </cell>
          <cell r="BG299">
            <v>0</v>
          </cell>
          <cell r="BH299">
            <v>0</v>
          </cell>
          <cell r="BI299">
            <v>4</v>
          </cell>
        </row>
        <row r="300">
          <cell r="C300" t="str">
            <v>Trần Thị Huyền Trang</v>
          </cell>
          <cell r="D300">
            <v>1283</v>
          </cell>
          <cell r="E300" t="str">
            <v>CUV</v>
          </cell>
          <cell r="G300">
            <v>1</v>
          </cell>
          <cell r="H300">
            <v>1</v>
          </cell>
          <cell r="L300">
            <v>1</v>
          </cell>
          <cell r="N300">
            <v>1</v>
          </cell>
          <cell r="O300">
            <v>1</v>
          </cell>
          <cell r="S300">
            <v>1</v>
          </cell>
          <cell r="U300">
            <v>1</v>
          </cell>
          <cell r="V300">
            <v>1</v>
          </cell>
          <cell r="Z300">
            <v>1</v>
          </cell>
          <cell r="AB300">
            <v>1</v>
          </cell>
          <cell r="AD300">
            <v>1</v>
          </cell>
          <cell r="AI300">
            <v>1</v>
          </cell>
          <cell r="AJ300">
            <v>1</v>
          </cell>
          <cell r="AN300">
            <v>1</v>
          </cell>
          <cell r="AP300">
            <v>1</v>
          </cell>
          <cell r="AQ300">
            <v>1</v>
          </cell>
          <cell r="AU300">
            <v>1</v>
          </cell>
          <cell r="AW300">
            <v>1</v>
          </cell>
          <cell r="AY300">
            <v>1</v>
          </cell>
          <cell r="BC300">
            <v>0</v>
          </cell>
          <cell r="BD300">
            <v>6</v>
          </cell>
          <cell r="BE300">
            <v>4</v>
          </cell>
          <cell r="BF300">
            <v>2</v>
          </cell>
          <cell r="BG300">
            <v>0</v>
          </cell>
          <cell r="BH300">
            <v>0</v>
          </cell>
          <cell r="BI300">
            <v>4</v>
          </cell>
        </row>
        <row r="301">
          <cell r="C301" t="str">
            <v>Lê Việt Hưng</v>
          </cell>
          <cell r="D301">
            <v>1284</v>
          </cell>
          <cell r="AB301">
            <v>1</v>
          </cell>
          <cell r="AD301">
            <v>1</v>
          </cell>
          <cell r="AI301">
            <v>1</v>
          </cell>
          <cell r="AJ301">
            <v>1</v>
          </cell>
          <cell r="AN301">
            <v>1</v>
          </cell>
          <cell r="AP301">
            <v>1</v>
          </cell>
          <cell r="AW301">
            <v>1</v>
          </cell>
          <cell r="AY301">
            <v>1</v>
          </cell>
          <cell r="BC301">
            <v>0</v>
          </cell>
          <cell r="BD301">
            <v>4</v>
          </cell>
          <cell r="BE301">
            <v>1</v>
          </cell>
          <cell r="BF301">
            <v>2</v>
          </cell>
          <cell r="BG301">
            <v>0</v>
          </cell>
          <cell r="BH301">
            <v>0</v>
          </cell>
          <cell r="BI301">
            <v>1</v>
          </cell>
        </row>
        <row r="302">
          <cell r="C302" t="str">
            <v>Nguyễn Thị Hiền</v>
          </cell>
          <cell r="D302">
            <v>1285</v>
          </cell>
          <cell r="G302">
            <v>1</v>
          </cell>
          <cell r="I302">
            <v>1</v>
          </cell>
          <cell r="L302">
            <v>1</v>
          </cell>
          <cell r="N302">
            <v>1</v>
          </cell>
          <cell r="O302">
            <v>1</v>
          </cell>
          <cell r="S302">
            <v>1</v>
          </cell>
          <cell r="U302">
            <v>1</v>
          </cell>
          <cell r="V302">
            <v>1</v>
          </cell>
          <cell r="Z302">
            <v>1</v>
          </cell>
          <cell r="AB302">
            <v>1</v>
          </cell>
          <cell r="AC302">
            <v>1</v>
          </cell>
          <cell r="AG302">
            <v>1</v>
          </cell>
          <cell r="AI302">
            <v>1</v>
          </cell>
          <cell r="AJ302">
            <v>1</v>
          </cell>
          <cell r="AN302">
            <v>1</v>
          </cell>
          <cell r="AO302">
            <v>1</v>
          </cell>
          <cell r="AP302">
            <v>1</v>
          </cell>
          <cell r="AQ302">
            <v>1</v>
          </cell>
          <cell r="AU302">
            <v>1</v>
          </cell>
          <cell r="AV302">
            <v>1</v>
          </cell>
          <cell r="AW302">
            <v>1</v>
          </cell>
          <cell r="AY302">
            <v>1</v>
          </cell>
          <cell r="BC302">
            <v>2</v>
          </cell>
          <cell r="BD302">
            <v>6</v>
          </cell>
          <cell r="BE302">
            <v>5</v>
          </cell>
          <cell r="BF302">
            <v>1</v>
          </cell>
          <cell r="BG302">
            <v>0</v>
          </cell>
          <cell r="BH302">
            <v>0</v>
          </cell>
          <cell r="BI302">
            <v>5</v>
          </cell>
        </row>
        <row r="303">
          <cell r="C303" t="str">
            <v>Nguyễn Thị Hội</v>
          </cell>
          <cell r="D303">
            <v>1286</v>
          </cell>
          <cell r="E303" t="str">
            <v>Phó Trưởng khoa</v>
          </cell>
          <cell r="F303">
            <v>1</v>
          </cell>
          <cell r="G303">
            <v>1</v>
          </cell>
          <cell r="H303">
            <v>1</v>
          </cell>
          <cell r="L303">
            <v>1</v>
          </cell>
          <cell r="N303">
            <v>1</v>
          </cell>
          <cell r="O303">
            <v>1</v>
          </cell>
          <cell r="S303">
            <v>1</v>
          </cell>
          <cell r="T303">
            <v>1</v>
          </cell>
          <cell r="U303">
            <v>1</v>
          </cell>
          <cell r="V303">
            <v>1</v>
          </cell>
          <cell r="Z303">
            <v>1</v>
          </cell>
          <cell r="AA303">
            <v>1</v>
          </cell>
          <cell r="AB303">
            <v>1</v>
          </cell>
          <cell r="AC303">
            <v>1</v>
          </cell>
          <cell r="AG303">
            <v>1</v>
          </cell>
          <cell r="AH303">
            <v>1</v>
          </cell>
          <cell r="AI303">
            <v>1</v>
          </cell>
          <cell r="AJ303">
            <v>1</v>
          </cell>
          <cell r="AN303">
            <v>1</v>
          </cell>
          <cell r="AP303">
            <v>1</v>
          </cell>
          <cell r="AQ303">
            <v>1</v>
          </cell>
          <cell r="AU303">
            <v>1</v>
          </cell>
          <cell r="AV303">
            <v>1</v>
          </cell>
          <cell r="AW303">
            <v>1</v>
          </cell>
          <cell r="AX303">
            <v>1</v>
          </cell>
          <cell r="BB303">
            <v>1</v>
          </cell>
          <cell r="BC303">
            <v>4</v>
          </cell>
          <cell r="BD303">
            <v>6</v>
          </cell>
          <cell r="BE303">
            <v>6</v>
          </cell>
          <cell r="BF303">
            <v>0</v>
          </cell>
          <cell r="BG303">
            <v>0</v>
          </cell>
          <cell r="BH303">
            <v>0</v>
          </cell>
          <cell r="BI303">
            <v>6</v>
          </cell>
        </row>
        <row r="304">
          <cell r="C304" t="str">
            <v>Lê Việt Hà</v>
          </cell>
          <cell r="D304">
            <v>1287</v>
          </cell>
          <cell r="E304" t="str">
            <v>Trưởng bộ môn</v>
          </cell>
          <cell r="G304">
            <v>1</v>
          </cell>
          <cell r="H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S304">
            <v>1</v>
          </cell>
          <cell r="U304">
            <v>1</v>
          </cell>
          <cell r="V304">
            <v>1</v>
          </cell>
          <cell r="Z304">
            <v>1</v>
          </cell>
          <cell r="AB304">
            <v>1</v>
          </cell>
          <cell r="AC304">
            <v>1</v>
          </cell>
          <cell r="AG304">
            <v>1</v>
          </cell>
          <cell r="AI304">
            <v>1</v>
          </cell>
          <cell r="AJ304">
            <v>1</v>
          </cell>
          <cell r="AN304">
            <v>1</v>
          </cell>
          <cell r="AO304">
            <v>1</v>
          </cell>
          <cell r="AP304">
            <v>1</v>
          </cell>
          <cell r="AQ304">
            <v>1</v>
          </cell>
          <cell r="AU304">
            <v>1</v>
          </cell>
          <cell r="AW304">
            <v>1</v>
          </cell>
          <cell r="AY304">
            <v>1</v>
          </cell>
          <cell r="BC304">
            <v>2</v>
          </cell>
          <cell r="BD304">
            <v>6</v>
          </cell>
          <cell r="BE304">
            <v>5</v>
          </cell>
          <cell r="BF304">
            <v>1</v>
          </cell>
          <cell r="BG304">
            <v>0</v>
          </cell>
          <cell r="BH304">
            <v>0</v>
          </cell>
          <cell r="BI304">
            <v>5</v>
          </cell>
        </row>
        <row r="305">
          <cell r="C305" t="str">
            <v>Bùi Quang Trường</v>
          </cell>
          <cell r="D305">
            <v>1288</v>
          </cell>
          <cell r="E305" t="str">
            <v>CUV, CTCĐ</v>
          </cell>
          <cell r="G305">
            <v>1</v>
          </cell>
          <cell r="I305">
            <v>1</v>
          </cell>
          <cell r="N305">
            <v>1</v>
          </cell>
          <cell r="O305">
            <v>1</v>
          </cell>
          <cell r="S305">
            <v>1</v>
          </cell>
          <cell r="U305">
            <v>1</v>
          </cell>
          <cell r="W305">
            <v>1</v>
          </cell>
          <cell r="AB305">
            <v>1</v>
          </cell>
          <cell r="AD305">
            <v>1</v>
          </cell>
          <cell r="AI305">
            <v>1</v>
          </cell>
          <cell r="AK305">
            <v>1</v>
          </cell>
          <cell r="AP305">
            <v>1</v>
          </cell>
          <cell r="AW305">
            <v>1</v>
          </cell>
          <cell r="AY305">
            <v>1</v>
          </cell>
          <cell r="BC305">
            <v>0</v>
          </cell>
          <cell r="BD305">
            <v>6</v>
          </cell>
          <cell r="BE305">
            <v>1</v>
          </cell>
          <cell r="BF305">
            <v>4</v>
          </cell>
          <cell r="BG305">
            <v>0</v>
          </cell>
          <cell r="BH305">
            <v>0</v>
          </cell>
          <cell r="BI305">
            <v>1</v>
          </cell>
        </row>
        <row r="306">
          <cell r="C306" t="str">
            <v>Hàn Minh Phương</v>
          </cell>
          <cell r="D306">
            <v>1289</v>
          </cell>
          <cell r="G306">
            <v>1</v>
          </cell>
          <cell r="H306">
            <v>1</v>
          </cell>
          <cell r="L306">
            <v>1</v>
          </cell>
          <cell r="N306">
            <v>1</v>
          </cell>
          <cell r="O306">
            <v>1</v>
          </cell>
          <cell r="S306">
            <v>1</v>
          </cell>
          <cell r="U306">
            <v>1</v>
          </cell>
          <cell r="V306">
            <v>1</v>
          </cell>
          <cell r="Z306">
            <v>1</v>
          </cell>
          <cell r="AB306">
            <v>1</v>
          </cell>
          <cell r="AC306">
            <v>1</v>
          </cell>
          <cell r="AG306">
            <v>1</v>
          </cell>
          <cell r="AI306">
            <v>1</v>
          </cell>
          <cell r="AJ306">
            <v>1</v>
          </cell>
          <cell r="AN306">
            <v>1</v>
          </cell>
          <cell r="AP306">
            <v>1</v>
          </cell>
          <cell r="AW306">
            <v>1</v>
          </cell>
          <cell r="AY306">
            <v>1</v>
          </cell>
          <cell r="BC306">
            <v>0</v>
          </cell>
          <cell r="BD306">
            <v>6</v>
          </cell>
          <cell r="BE306">
            <v>4</v>
          </cell>
          <cell r="BF306">
            <v>1</v>
          </cell>
          <cell r="BG306">
            <v>0</v>
          </cell>
          <cell r="BH306">
            <v>0</v>
          </cell>
          <cell r="BI306">
            <v>4</v>
          </cell>
        </row>
        <row r="307">
          <cell r="C307" t="str">
            <v>Đỗ Thị Thu Hiền</v>
          </cell>
          <cell r="D307">
            <v>1290</v>
          </cell>
          <cell r="G307">
            <v>1</v>
          </cell>
          <cell r="H307">
            <v>1</v>
          </cell>
          <cell r="L307">
            <v>1</v>
          </cell>
          <cell r="N307">
            <v>1</v>
          </cell>
          <cell r="O307">
            <v>1</v>
          </cell>
          <cell r="S307">
            <v>1</v>
          </cell>
          <cell r="U307">
            <v>1</v>
          </cell>
          <cell r="V307">
            <v>1</v>
          </cell>
          <cell r="Z307">
            <v>1</v>
          </cell>
          <cell r="AB307">
            <v>1</v>
          </cell>
          <cell r="AC307">
            <v>1</v>
          </cell>
          <cell r="AG307">
            <v>1</v>
          </cell>
          <cell r="AI307">
            <v>1</v>
          </cell>
          <cell r="AJ307">
            <v>1</v>
          </cell>
          <cell r="AN307">
            <v>1</v>
          </cell>
          <cell r="AP307">
            <v>1</v>
          </cell>
          <cell r="AQ307">
            <v>1</v>
          </cell>
          <cell r="AU307">
            <v>1</v>
          </cell>
          <cell r="AV307">
            <v>1</v>
          </cell>
          <cell r="AW307">
            <v>1</v>
          </cell>
          <cell r="AY307">
            <v>1</v>
          </cell>
          <cell r="BB307">
            <v>1</v>
          </cell>
          <cell r="BC307">
            <v>1</v>
          </cell>
          <cell r="BD307">
            <v>6</v>
          </cell>
          <cell r="BE307">
            <v>5</v>
          </cell>
          <cell r="BF307">
            <v>1</v>
          </cell>
          <cell r="BG307">
            <v>0</v>
          </cell>
          <cell r="BH307">
            <v>0</v>
          </cell>
          <cell r="BI307">
            <v>6</v>
          </cell>
        </row>
        <row r="308">
          <cell r="C308" t="str">
            <v>Trần Thị Nhung</v>
          </cell>
          <cell r="D308">
            <v>1291</v>
          </cell>
          <cell r="P308">
            <v>1</v>
          </cell>
          <cell r="U308">
            <v>1</v>
          </cell>
          <cell r="V308">
            <v>1</v>
          </cell>
          <cell r="Z308">
            <v>1</v>
          </cell>
          <cell r="AB308">
            <v>1</v>
          </cell>
          <cell r="AC308">
            <v>1</v>
          </cell>
          <cell r="AG308">
            <v>1</v>
          </cell>
          <cell r="AI308">
            <v>1</v>
          </cell>
          <cell r="AJ308">
            <v>1</v>
          </cell>
          <cell r="AN308">
            <v>1</v>
          </cell>
          <cell r="AP308">
            <v>1</v>
          </cell>
          <cell r="AW308">
            <v>1</v>
          </cell>
          <cell r="AY308">
            <v>1</v>
          </cell>
          <cell r="BC308">
            <v>0</v>
          </cell>
          <cell r="BD308">
            <v>5</v>
          </cell>
          <cell r="BE308">
            <v>3</v>
          </cell>
          <cell r="BF308">
            <v>2</v>
          </cell>
          <cell r="BG308">
            <v>0</v>
          </cell>
          <cell r="BH308">
            <v>0</v>
          </cell>
          <cell r="BI308">
            <v>3</v>
          </cell>
        </row>
        <row r="309">
          <cell r="C309" t="str">
            <v>Vũ Diệu Hương</v>
          </cell>
          <cell r="AL309">
            <v>1</v>
          </cell>
          <cell r="AP309">
            <v>1</v>
          </cell>
          <cell r="BC309">
            <v>0</v>
          </cell>
          <cell r="BD309">
            <v>1</v>
          </cell>
          <cell r="BE309">
            <v>0</v>
          </cell>
          <cell r="BF309">
            <v>0</v>
          </cell>
          <cell r="BG309">
            <v>1</v>
          </cell>
          <cell r="BH309">
            <v>0</v>
          </cell>
          <cell r="BI309">
            <v>0</v>
          </cell>
        </row>
        <row r="310">
          <cell r="C310" t="str">
            <v>Đặng Quốc Hữu</v>
          </cell>
          <cell r="D310">
            <v>1293</v>
          </cell>
          <cell r="E310" t="str">
            <v>Phó Trưởng bộ môn</v>
          </cell>
          <cell r="G310">
            <v>1</v>
          </cell>
          <cell r="I310">
            <v>1</v>
          </cell>
          <cell r="N310">
            <v>1</v>
          </cell>
          <cell r="P310">
            <v>1</v>
          </cell>
          <cell r="U310">
            <v>1</v>
          </cell>
          <cell r="W310">
            <v>1</v>
          </cell>
          <cell r="AB310">
            <v>1</v>
          </cell>
          <cell r="AD310">
            <v>1</v>
          </cell>
          <cell r="AI310">
            <v>1</v>
          </cell>
          <cell r="AJ310">
            <v>1</v>
          </cell>
          <cell r="AN310">
            <v>1</v>
          </cell>
          <cell r="AP310">
            <v>1</v>
          </cell>
          <cell r="AQ310">
            <v>1</v>
          </cell>
          <cell r="AU310">
            <v>1</v>
          </cell>
          <cell r="AW310">
            <v>1</v>
          </cell>
          <cell r="AX310">
            <v>1</v>
          </cell>
          <cell r="BC310">
            <v>0</v>
          </cell>
          <cell r="BD310">
            <v>6</v>
          </cell>
          <cell r="BE310">
            <v>3</v>
          </cell>
          <cell r="BF310">
            <v>3</v>
          </cell>
          <cell r="BG310">
            <v>0</v>
          </cell>
          <cell r="BH310">
            <v>0</v>
          </cell>
          <cell r="BI310">
            <v>2</v>
          </cell>
        </row>
        <row r="311">
          <cell r="C311" t="str">
            <v>Nguyễn Thị Thu Thủy</v>
          </cell>
          <cell r="D311">
            <v>1294</v>
          </cell>
          <cell r="E311" t="str">
            <v>Trưởng bộ môn</v>
          </cell>
          <cell r="F311">
            <v>1</v>
          </cell>
          <cell r="G311">
            <v>1</v>
          </cell>
          <cell r="H311">
            <v>1</v>
          </cell>
          <cell r="L311">
            <v>1</v>
          </cell>
          <cell r="M311">
            <v>1</v>
          </cell>
          <cell r="N311">
            <v>1</v>
          </cell>
          <cell r="O311">
            <v>1</v>
          </cell>
          <cell r="S311">
            <v>1</v>
          </cell>
          <cell r="T311">
            <v>1</v>
          </cell>
          <cell r="U311">
            <v>1</v>
          </cell>
          <cell r="V311">
            <v>1</v>
          </cell>
          <cell r="Z311">
            <v>1</v>
          </cell>
          <cell r="AA311">
            <v>1</v>
          </cell>
          <cell r="AB311">
            <v>1</v>
          </cell>
          <cell r="AC311">
            <v>1</v>
          </cell>
          <cell r="AG311">
            <v>1</v>
          </cell>
          <cell r="AI311">
            <v>1</v>
          </cell>
          <cell r="AJ311">
            <v>1</v>
          </cell>
          <cell r="AN311">
            <v>1</v>
          </cell>
          <cell r="AP311">
            <v>1</v>
          </cell>
          <cell r="AV311">
            <v>1</v>
          </cell>
          <cell r="AW311">
            <v>1</v>
          </cell>
          <cell r="AY311">
            <v>1</v>
          </cell>
          <cell r="BB311">
            <v>1</v>
          </cell>
          <cell r="BC311">
            <v>4</v>
          </cell>
          <cell r="BD311">
            <v>6</v>
          </cell>
          <cell r="BE311">
            <v>4</v>
          </cell>
          <cell r="BF311">
            <v>1</v>
          </cell>
          <cell r="BG311">
            <v>0</v>
          </cell>
          <cell r="BH311">
            <v>0</v>
          </cell>
          <cell r="BI311">
            <v>5</v>
          </cell>
        </row>
        <row r="312">
          <cell r="C312" t="str">
            <v>Nguyễn Hưng Long</v>
          </cell>
          <cell r="D312">
            <v>1295</v>
          </cell>
          <cell r="E312" t="str">
            <v>PBTCB</v>
          </cell>
          <cell r="G312">
            <v>1</v>
          </cell>
          <cell r="H312">
            <v>1</v>
          </cell>
          <cell r="L312">
            <v>1</v>
          </cell>
          <cell r="N312">
            <v>1</v>
          </cell>
          <cell r="O312">
            <v>1</v>
          </cell>
          <cell r="S312">
            <v>1</v>
          </cell>
          <cell r="U312">
            <v>1</v>
          </cell>
          <cell r="V312">
            <v>1</v>
          </cell>
          <cell r="Z312">
            <v>1</v>
          </cell>
          <cell r="AB312">
            <v>1</v>
          </cell>
          <cell r="AC312">
            <v>1</v>
          </cell>
          <cell r="AG312">
            <v>1</v>
          </cell>
          <cell r="AI312">
            <v>1</v>
          </cell>
          <cell r="AJ312">
            <v>1</v>
          </cell>
          <cell r="AN312">
            <v>1</v>
          </cell>
          <cell r="AP312">
            <v>1</v>
          </cell>
          <cell r="AQ312">
            <v>1</v>
          </cell>
          <cell r="AU312">
            <v>1</v>
          </cell>
          <cell r="AW312">
            <v>1</v>
          </cell>
          <cell r="AY312">
            <v>1</v>
          </cell>
          <cell r="BC312">
            <v>0</v>
          </cell>
          <cell r="BD312">
            <v>6</v>
          </cell>
          <cell r="BE312">
            <v>5</v>
          </cell>
          <cell r="BF312">
            <v>1</v>
          </cell>
          <cell r="BG312">
            <v>0</v>
          </cell>
          <cell r="BH312">
            <v>0</v>
          </cell>
          <cell r="BI312">
            <v>5</v>
          </cell>
        </row>
        <row r="313">
          <cell r="C313" t="str">
            <v>Đinh Thị Hà</v>
          </cell>
          <cell r="D313">
            <v>1297</v>
          </cell>
          <cell r="G313">
            <v>1</v>
          </cell>
          <cell r="I313">
            <v>1</v>
          </cell>
          <cell r="N313">
            <v>1</v>
          </cell>
          <cell r="O313">
            <v>1</v>
          </cell>
          <cell r="S313">
            <v>1</v>
          </cell>
          <cell r="U313">
            <v>1</v>
          </cell>
          <cell r="V313">
            <v>1</v>
          </cell>
          <cell r="Z313">
            <v>1</v>
          </cell>
          <cell r="AB313">
            <v>1</v>
          </cell>
          <cell r="AC313">
            <v>1</v>
          </cell>
          <cell r="AG313">
            <v>1</v>
          </cell>
          <cell r="AI313">
            <v>1</v>
          </cell>
          <cell r="AJ313">
            <v>1</v>
          </cell>
          <cell r="AN313">
            <v>1</v>
          </cell>
          <cell r="AP313">
            <v>1</v>
          </cell>
          <cell r="AQ313">
            <v>1</v>
          </cell>
          <cell r="AU313">
            <v>1</v>
          </cell>
          <cell r="AW313">
            <v>1</v>
          </cell>
          <cell r="AY313">
            <v>1</v>
          </cell>
          <cell r="BC313">
            <v>0</v>
          </cell>
          <cell r="BD313">
            <v>6</v>
          </cell>
          <cell r="BE313">
            <v>5</v>
          </cell>
          <cell r="BF313">
            <v>1</v>
          </cell>
          <cell r="BG313">
            <v>0</v>
          </cell>
          <cell r="BH313">
            <v>0</v>
          </cell>
          <cell r="BI313">
            <v>5</v>
          </cell>
        </row>
        <row r="314">
          <cell r="C314" t="str">
            <v>Nghiêm Thị Lịch</v>
          </cell>
          <cell r="G314">
            <v>1</v>
          </cell>
          <cell r="H314">
            <v>1</v>
          </cell>
          <cell r="L314">
            <v>1</v>
          </cell>
          <cell r="N314">
            <v>1</v>
          </cell>
          <cell r="O314">
            <v>1</v>
          </cell>
          <cell r="S314">
            <v>1</v>
          </cell>
          <cell r="U314">
            <v>1</v>
          </cell>
          <cell r="V314">
            <v>1</v>
          </cell>
          <cell r="Z314">
            <v>1</v>
          </cell>
          <cell r="AB314">
            <v>1</v>
          </cell>
          <cell r="AC314">
            <v>1</v>
          </cell>
          <cell r="AG314">
            <v>1</v>
          </cell>
          <cell r="AI314">
            <v>1</v>
          </cell>
          <cell r="AJ314">
            <v>1</v>
          </cell>
          <cell r="AN314">
            <v>1</v>
          </cell>
          <cell r="AP314">
            <v>1</v>
          </cell>
          <cell r="AQ314">
            <v>1</v>
          </cell>
          <cell r="AU314">
            <v>1</v>
          </cell>
          <cell r="BC314">
            <v>0</v>
          </cell>
          <cell r="BD314">
            <v>5</v>
          </cell>
          <cell r="BE314">
            <v>5</v>
          </cell>
          <cell r="BF314">
            <v>0</v>
          </cell>
          <cell r="BG314">
            <v>0</v>
          </cell>
          <cell r="BH314">
            <v>0</v>
          </cell>
          <cell r="BI314">
            <v>5</v>
          </cell>
        </row>
        <row r="315">
          <cell r="C315" t="str">
            <v>Nguyễn Thị Vân Trang</v>
          </cell>
          <cell r="D315">
            <v>1299</v>
          </cell>
          <cell r="G315">
            <v>1</v>
          </cell>
          <cell r="H315">
            <v>1</v>
          </cell>
          <cell r="L315">
            <v>1</v>
          </cell>
          <cell r="N315">
            <v>1</v>
          </cell>
          <cell r="O315">
            <v>1</v>
          </cell>
          <cell r="S315">
            <v>1</v>
          </cell>
          <cell r="U315">
            <v>1</v>
          </cell>
          <cell r="V315">
            <v>1</v>
          </cell>
          <cell r="Z315">
            <v>1</v>
          </cell>
          <cell r="AB315">
            <v>1</v>
          </cell>
          <cell r="AC315">
            <v>1</v>
          </cell>
          <cell r="AG315">
            <v>1</v>
          </cell>
          <cell r="AH315">
            <v>1</v>
          </cell>
          <cell r="AI315">
            <v>1</v>
          </cell>
          <cell r="AJ315">
            <v>1</v>
          </cell>
          <cell r="AN315">
            <v>1</v>
          </cell>
          <cell r="AP315">
            <v>1</v>
          </cell>
          <cell r="AW315">
            <v>1</v>
          </cell>
          <cell r="AX315">
            <v>1</v>
          </cell>
          <cell r="BB315">
            <v>1</v>
          </cell>
          <cell r="BC315">
            <v>1</v>
          </cell>
          <cell r="BD315">
            <v>6</v>
          </cell>
          <cell r="BE315">
            <v>5</v>
          </cell>
          <cell r="BF315">
            <v>0</v>
          </cell>
          <cell r="BG315">
            <v>0</v>
          </cell>
          <cell r="BH315">
            <v>0</v>
          </cell>
          <cell r="BI315">
            <v>5</v>
          </cell>
        </row>
        <row r="316">
          <cell r="C316" t="str">
            <v>Đỗ Thị Thanh Tâm</v>
          </cell>
          <cell r="D316">
            <v>1300</v>
          </cell>
          <cell r="AI316">
            <v>1</v>
          </cell>
          <cell r="AK316">
            <v>1</v>
          </cell>
          <cell r="AW316">
            <v>1</v>
          </cell>
          <cell r="AY316">
            <v>1</v>
          </cell>
          <cell r="BC316">
            <v>0</v>
          </cell>
          <cell r="BD316">
            <v>2</v>
          </cell>
          <cell r="BE316">
            <v>0</v>
          </cell>
          <cell r="BF316">
            <v>2</v>
          </cell>
          <cell r="BG316">
            <v>0</v>
          </cell>
          <cell r="BH316">
            <v>0</v>
          </cell>
          <cell r="BI316">
            <v>0</v>
          </cell>
        </row>
        <row r="317">
          <cell r="C317" t="str">
            <v>Hoàng Văn Mạnh</v>
          </cell>
          <cell r="D317">
            <v>1302</v>
          </cell>
          <cell r="E317" t="str">
            <v>Phó Trưởng khoa, BTCB</v>
          </cell>
          <cell r="G317">
            <v>1</v>
          </cell>
          <cell r="I317">
            <v>1</v>
          </cell>
          <cell r="M317">
            <v>1</v>
          </cell>
          <cell r="N317">
            <v>1</v>
          </cell>
          <cell r="O317">
            <v>1</v>
          </cell>
          <cell r="S317">
            <v>1</v>
          </cell>
          <cell r="T317">
            <v>1</v>
          </cell>
          <cell r="U317">
            <v>1</v>
          </cell>
          <cell r="V317">
            <v>1</v>
          </cell>
          <cell r="Z317">
            <v>1</v>
          </cell>
          <cell r="AB317">
            <v>1</v>
          </cell>
          <cell r="AC317">
            <v>1</v>
          </cell>
          <cell r="AG317">
            <v>1</v>
          </cell>
          <cell r="AI317">
            <v>1</v>
          </cell>
          <cell r="AJ317">
            <v>1</v>
          </cell>
          <cell r="AN317">
            <v>1</v>
          </cell>
          <cell r="AP317">
            <v>1</v>
          </cell>
          <cell r="AV317">
            <v>1</v>
          </cell>
          <cell r="AW317">
            <v>1</v>
          </cell>
          <cell r="AY317">
            <v>1</v>
          </cell>
          <cell r="BB317">
            <v>1</v>
          </cell>
          <cell r="BC317">
            <v>3</v>
          </cell>
          <cell r="BD317">
            <v>6</v>
          </cell>
          <cell r="BE317">
            <v>4</v>
          </cell>
          <cell r="BF317">
            <v>1</v>
          </cell>
          <cell r="BG317">
            <v>0</v>
          </cell>
          <cell r="BH317">
            <v>0</v>
          </cell>
          <cell r="BI317">
            <v>5</v>
          </cell>
        </row>
        <row r="318">
          <cell r="C318" t="str">
            <v>Đặng Thị Hoài</v>
          </cell>
          <cell r="D318">
            <v>1303</v>
          </cell>
          <cell r="E318" t="str">
            <v>Trưởng bộ môn</v>
          </cell>
          <cell r="G318">
            <v>1</v>
          </cell>
          <cell r="I318">
            <v>1</v>
          </cell>
          <cell r="N318">
            <v>1</v>
          </cell>
          <cell r="O318">
            <v>1</v>
          </cell>
          <cell r="S318">
            <v>1</v>
          </cell>
          <cell r="U318">
            <v>1</v>
          </cell>
          <cell r="W318">
            <v>1</v>
          </cell>
          <cell r="AB318">
            <v>1</v>
          </cell>
          <cell r="AC318">
            <v>1</v>
          </cell>
          <cell r="AG318">
            <v>1</v>
          </cell>
          <cell r="AH318">
            <v>1</v>
          </cell>
          <cell r="AI318">
            <v>1</v>
          </cell>
          <cell r="AJ318">
            <v>1</v>
          </cell>
          <cell r="AN318">
            <v>1</v>
          </cell>
          <cell r="AP318">
            <v>1</v>
          </cell>
          <cell r="AV318">
            <v>1</v>
          </cell>
          <cell r="AW318">
            <v>1</v>
          </cell>
          <cell r="AY318">
            <v>1</v>
          </cell>
          <cell r="BB318">
            <v>1</v>
          </cell>
          <cell r="BC318">
            <v>2</v>
          </cell>
          <cell r="BD318">
            <v>6</v>
          </cell>
          <cell r="BE318">
            <v>3</v>
          </cell>
          <cell r="BF318">
            <v>2</v>
          </cell>
          <cell r="BG318">
            <v>0</v>
          </cell>
          <cell r="BH318">
            <v>0</v>
          </cell>
          <cell r="BI318">
            <v>4</v>
          </cell>
        </row>
        <row r="319">
          <cell r="C319" t="str">
            <v>Võ Tá Tri</v>
          </cell>
          <cell r="D319">
            <v>1304</v>
          </cell>
          <cell r="AP319">
            <v>1</v>
          </cell>
          <cell r="AW319">
            <v>1</v>
          </cell>
          <cell r="AY319">
            <v>1</v>
          </cell>
          <cell r="BC319">
            <v>0</v>
          </cell>
          <cell r="BD319">
            <v>2</v>
          </cell>
          <cell r="BE319">
            <v>0</v>
          </cell>
          <cell r="BF319">
            <v>1</v>
          </cell>
          <cell r="BG319">
            <v>0</v>
          </cell>
          <cell r="BH319">
            <v>0</v>
          </cell>
          <cell r="BI319">
            <v>0</v>
          </cell>
        </row>
        <row r="320">
          <cell r="C320" t="str">
            <v>Tống Thế Sơn</v>
          </cell>
          <cell r="D320">
            <v>1305</v>
          </cell>
          <cell r="AI320">
            <v>1</v>
          </cell>
          <cell r="AK320">
            <v>1</v>
          </cell>
          <cell r="AP320">
            <v>1</v>
          </cell>
          <cell r="AW320">
            <v>1</v>
          </cell>
          <cell r="AY320">
            <v>1</v>
          </cell>
          <cell r="BC320">
            <v>0</v>
          </cell>
          <cell r="BD320">
            <v>3</v>
          </cell>
          <cell r="BE320">
            <v>0</v>
          </cell>
          <cell r="BF320">
            <v>2</v>
          </cell>
          <cell r="BG320">
            <v>0</v>
          </cell>
          <cell r="BH320">
            <v>0</v>
          </cell>
          <cell r="BI320">
            <v>0</v>
          </cell>
        </row>
        <row r="321">
          <cell r="C321" t="str">
            <v>Hoàng Thị Vân</v>
          </cell>
          <cell r="D321">
            <v>1306</v>
          </cell>
          <cell r="AI321">
            <v>1</v>
          </cell>
          <cell r="AK321">
            <v>1</v>
          </cell>
          <cell r="AP321">
            <v>1</v>
          </cell>
          <cell r="AW321">
            <v>1</v>
          </cell>
          <cell r="AY321">
            <v>1</v>
          </cell>
          <cell r="BC321">
            <v>0</v>
          </cell>
          <cell r="BD321">
            <v>3</v>
          </cell>
          <cell r="BE321">
            <v>0</v>
          </cell>
          <cell r="BF321">
            <v>2</v>
          </cell>
          <cell r="BG321">
            <v>0</v>
          </cell>
          <cell r="BH321">
            <v>0</v>
          </cell>
          <cell r="BI321">
            <v>0</v>
          </cell>
        </row>
        <row r="322">
          <cell r="C322" t="str">
            <v>Tạ Thị Vân Hà</v>
          </cell>
          <cell r="D322">
            <v>1307</v>
          </cell>
          <cell r="E322" t="str">
            <v>Trưởng bộ môn</v>
          </cell>
          <cell r="G322">
            <v>1</v>
          </cell>
          <cell r="H322">
            <v>1</v>
          </cell>
          <cell r="L322">
            <v>1</v>
          </cell>
          <cell r="N322">
            <v>1</v>
          </cell>
          <cell r="O322">
            <v>1</v>
          </cell>
          <cell r="S322">
            <v>1</v>
          </cell>
          <cell r="T322">
            <v>1</v>
          </cell>
          <cell r="U322">
            <v>1</v>
          </cell>
          <cell r="V322">
            <v>1</v>
          </cell>
          <cell r="Z322">
            <v>1</v>
          </cell>
          <cell r="AB322">
            <v>1</v>
          </cell>
          <cell r="AC322">
            <v>1</v>
          </cell>
          <cell r="AG322">
            <v>1</v>
          </cell>
          <cell r="AI322">
            <v>1</v>
          </cell>
          <cell r="AJ322">
            <v>1</v>
          </cell>
          <cell r="AN322">
            <v>1</v>
          </cell>
          <cell r="AP322">
            <v>1</v>
          </cell>
          <cell r="AV322">
            <v>1</v>
          </cell>
          <cell r="AW322">
            <v>1</v>
          </cell>
          <cell r="AY322">
            <v>1</v>
          </cell>
          <cell r="BB322">
            <v>1</v>
          </cell>
          <cell r="BC322">
            <v>2</v>
          </cell>
          <cell r="BD322">
            <v>6</v>
          </cell>
          <cell r="BE322">
            <v>4</v>
          </cell>
          <cell r="BF322">
            <v>1</v>
          </cell>
          <cell r="BG322">
            <v>0</v>
          </cell>
          <cell r="BH322">
            <v>0</v>
          </cell>
          <cell r="BI322">
            <v>5</v>
          </cell>
        </row>
        <row r="323">
          <cell r="C323" t="str">
            <v>Nguyễn Thị Thu Hà</v>
          </cell>
          <cell r="D323">
            <v>1308</v>
          </cell>
          <cell r="E323" t="str">
            <v>Phó Trưởng bộ môn</v>
          </cell>
          <cell r="G323">
            <v>1</v>
          </cell>
          <cell r="H323">
            <v>1</v>
          </cell>
          <cell r="L323">
            <v>1</v>
          </cell>
          <cell r="M323">
            <v>1</v>
          </cell>
          <cell r="N323">
            <v>1</v>
          </cell>
          <cell r="O323">
            <v>1</v>
          </cell>
          <cell r="S323">
            <v>1</v>
          </cell>
          <cell r="U323">
            <v>1</v>
          </cell>
          <cell r="W323">
            <v>1</v>
          </cell>
          <cell r="AA323">
            <v>1</v>
          </cell>
          <cell r="AB323">
            <v>1</v>
          </cell>
          <cell r="AC323">
            <v>1</v>
          </cell>
          <cell r="AG323">
            <v>1</v>
          </cell>
          <cell r="AH323">
            <v>1</v>
          </cell>
          <cell r="AI323">
            <v>1</v>
          </cell>
          <cell r="AJ323">
            <v>1</v>
          </cell>
          <cell r="AN323">
            <v>1</v>
          </cell>
          <cell r="AP323">
            <v>1</v>
          </cell>
          <cell r="AQ323">
            <v>1</v>
          </cell>
          <cell r="AU323">
            <v>1</v>
          </cell>
          <cell r="AW323">
            <v>1</v>
          </cell>
          <cell r="AX323">
            <v>1</v>
          </cell>
          <cell r="BC323">
            <v>3</v>
          </cell>
          <cell r="BD323">
            <v>6</v>
          </cell>
          <cell r="BE323">
            <v>5</v>
          </cell>
          <cell r="BF323">
            <v>1</v>
          </cell>
          <cell r="BG323">
            <v>0</v>
          </cell>
          <cell r="BH323">
            <v>0</v>
          </cell>
          <cell r="BI323">
            <v>4</v>
          </cell>
        </row>
        <row r="324">
          <cell r="C324" t="str">
            <v>Đặng Minh Tiến</v>
          </cell>
          <cell r="D324">
            <v>1309</v>
          </cell>
          <cell r="G324">
            <v>1</v>
          </cell>
          <cell r="I324">
            <v>1</v>
          </cell>
          <cell r="N324">
            <v>1</v>
          </cell>
          <cell r="P324">
            <v>1</v>
          </cell>
          <cell r="U324">
            <v>1</v>
          </cell>
          <cell r="W324">
            <v>1</v>
          </cell>
          <cell r="AB324">
            <v>1</v>
          </cell>
          <cell r="AD324">
            <v>1</v>
          </cell>
          <cell r="AI324">
            <v>1</v>
          </cell>
          <cell r="AJ324">
            <v>1</v>
          </cell>
          <cell r="AN324">
            <v>1</v>
          </cell>
          <cell r="AP324">
            <v>1</v>
          </cell>
          <cell r="AW324">
            <v>1</v>
          </cell>
          <cell r="AY324">
            <v>1</v>
          </cell>
          <cell r="BC324">
            <v>0</v>
          </cell>
          <cell r="BD324">
            <v>6</v>
          </cell>
          <cell r="BE324">
            <v>1</v>
          </cell>
          <cell r="BF324">
            <v>4</v>
          </cell>
          <cell r="BG324">
            <v>0</v>
          </cell>
          <cell r="BH324">
            <v>0</v>
          </cell>
          <cell r="BI324">
            <v>1</v>
          </cell>
        </row>
        <row r="325">
          <cell r="C325" t="str">
            <v>Đỗ Thị Phương Hoa</v>
          </cell>
          <cell r="D325">
            <v>1310</v>
          </cell>
          <cell r="E325" t="str">
            <v>CUV</v>
          </cell>
          <cell r="G325">
            <v>1</v>
          </cell>
          <cell r="H325">
            <v>1</v>
          </cell>
          <cell r="L325">
            <v>1</v>
          </cell>
          <cell r="N325">
            <v>1</v>
          </cell>
          <cell r="O325">
            <v>1</v>
          </cell>
          <cell r="S325">
            <v>1</v>
          </cell>
          <cell r="U325">
            <v>1</v>
          </cell>
          <cell r="V325">
            <v>1</v>
          </cell>
          <cell r="Z325">
            <v>1</v>
          </cell>
          <cell r="AB325">
            <v>1</v>
          </cell>
          <cell r="AC325">
            <v>1</v>
          </cell>
          <cell r="AG325">
            <v>1</v>
          </cell>
          <cell r="AI325">
            <v>1</v>
          </cell>
          <cell r="AJ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BB325">
            <v>1</v>
          </cell>
          <cell r="BC325">
            <v>2</v>
          </cell>
          <cell r="BD325">
            <v>6</v>
          </cell>
          <cell r="BE325">
            <v>5</v>
          </cell>
          <cell r="BF325">
            <v>1</v>
          </cell>
          <cell r="BG325">
            <v>0</v>
          </cell>
          <cell r="BH325">
            <v>0</v>
          </cell>
          <cell r="BI325">
            <v>6</v>
          </cell>
        </row>
        <row r="326">
          <cell r="C326" t="str">
            <v>Phạm Thị Hương</v>
          </cell>
          <cell r="D326">
            <v>1311</v>
          </cell>
          <cell r="G326">
            <v>1</v>
          </cell>
          <cell r="H326">
            <v>1</v>
          </cell>
          <cell r="L326">
            <v>1</v>
          </cell>
          <cell r="N326">
            <v>1</v>
          </cell>
          <cell r="O326">
            <v>1</v>
          </cell>
          <cell r="S326">
            <v>1</v>
          </cell>
          <cell r="U326">
            <v>1</v>
          </cell>
          <cell r="V326">
            <v>1</v>
          </cell>
          <cell r="Z326">
            <v>1</v>
          </cell>
          <cell r="AB326">
            <v>1</v>
          </cell>
          <cell r="AC326">
            <v>1</v>
          </cell>
          <cell r="AG326">
            <v>1</v>
          </cell>
          <cell r="AH326">
            <v>1</v>
          </cell>
          <cell r="AI326">
            <v>1</v>
          </cell>
          <cell r="AJ326">
            <v>1</v>
          </cell>
          <cell r="AN326">
            <v>1</v>
          </cell>
          <cell r="AP326">
            <v>1</v>
          </cell>
          <cell r="AW326">
            <v>1</v>
          </cell>
          <cell r="AY326">
            <v>1</v>
          </cell>
          <cell r="BC326">
            <v>1</v>
          </cell>
          <cell r="BD326">
            <v>6</v>
          </cell>
          <cell r="BE326">
            <v>4</v>
          </cell>
          <cell r="BF326">
            <v>1</v>
          </cell>
          <cell r="BG326">
            <v>0</v>
          </cell>
          <cell r="BH326">
            <v>0</v>
          </cell>
          <cell r="BI326">
            <v>4</v>
          </cell>
        </row>
        <row r="327">
          <cell r="C327" t="str">
            <v>Nguyễn Quỳnh Hương</v>
          </cell>
          <cell r="D327">
            <v>1312</v>
          </cell>
          <cell r="E327" t="str">
            <v>BTCĐ</v>
          </cell>
          <cell r="P327">
            <v>1</v>
          </cell>
          <cell r="U327">
            <v>1</v>
          </cell>
          <cell r="W327">
            <v>1</v>
          </cell>
          <cell r="AA327">
            <v>1</v>
          </cell>
          <cell r="AB327">
            <v>1</v>
          </cell>
          <cell r="AC327">
            <v>1</v>
          </cell>
          <cell r="AG327">
            <v>1</v>
          </cell>
          <cell r="AI327">
            <v>1</v>
          </cell>
          <cell r="AJ327">
            <v>1</v>
          </cell>
          <cell r="AN327">
            <v>1</v>
          </cell>
          <cell r="AP327">
            <v>1</v>
          </cell>
          <cell r="AW327">
            <v>1</v>
          </cell>
          <cell r="AY327">
            <v>1</v>
          </cell>
          <cell r="BC327">
            <v>1</v>
          </cell>
          <cell r="BD327">
            <v>5</v>
          </cell>
          <cell r="BE327">
            <v>2</v>
          </cell>
          <cell r="BF327">
            <v>3</v>
          </cell>
          <cell r="BG327">
            <v>0</v>
          </cell>
          <cell r="BH327">
            <v>0</v>
          </cell>
          <cell r="BI327">
            <v>2</v>
          </cell>
        </row>
        <row r="328">
          <cell r="C328" t="str">
            <v>Nguyễn Thị Liên</v>
          </cell>
          <cell r="D328">
            <v>1313</v>
          </cell>
          <cell r="AB328">
            <v>1</v>
          </cell>
          <cell r="AD328">
            <v>1</v>
          </cell>
          <cell r="AI328">
            <v>1</v>
          </cell>
          <cell r="AK328">
            <v>1</v>
          </cell>
          <cell r="AP328">
            <v>1</v>
          </cell>
          <cell r="AW328">
            <v>1</v>
          </cell>
          <cell r="AY328">
            <v>1</v>
          </cell>
          <cell r="BC328">
            <v>0</v>
          </cell>
          <cell r="BD328">
            <v>4</v>
          </cell>
          <cell r="BE328">
            <v>0</v>
          </cell>
          <cell r="BF328">
            <v>3</v>
          </cell>
          <cell r="BG328">
            <v>0</v>
          </cell>
          <cell r="BH328">
            <v>0</v>
          </cell>
          <cell r="BI328">
            <v>0</v>
          </cell>
        </row>
        <row r="329">
          <cell r="C329" t="str">
            <v>Hồ Công Đức</v>
          </cell>
          <cell r="D329">
            <v>1314</v>
          </cell>
          <cell r="AI329">
            <v>1</v>
          </cell>
          <cell r="AK329">
            <v>1</v>
          </cell>
          <cell r="AP329">
            <v>1</v>
          </cell>
          <cell r="AQ329">
            <v>1</v>
          </cell>
          <cell r="AU329">
            <v>1</v>
          </cell>
          <cell r="AW329">
            <v>1</v>
          </cell>
          <cell r="AX329">
            <v>1</v>
          </cell>
          <cell r="BB329">
            <v>1</v>
          </cell>
          <cell r="BC329">
            <v>0</v>
          </cell>
          <cell r="BD329">
            <v>3</v>
          </cell>
          <cell r="BE329">
            <v>2</v>
          </cell>
          <cell r="BF329">
            <v>1</v>
          </cell>
          <cell r="BG329">
            <v>0</v>
          </cell>
          <cell r="BH329">
            <v>0</v>
          </cell>
          <cell r="BI329">
            <v>2</v>
          </cell>
        </row>
        <row r="330">
          <cell r="C330" t="str">
            <v>Đào Thu Hà</v>
          </cell>
          <cell r="D330">
            <v>1315</v>
          </cell>
          <cell r="AI330">
            <v>1</v>
          </cell>
          <cell r="AK330">
            <v>1</v>
          </cell>
          <cell r="AP330">
            <v>1</v>
          </cell>
          <cell r="AW330">
            <v>1</v>
          </cell>
          <cell r="AY330">
            <v>1</v>
          </cell>
          <cell r="BC330">
            <v>0</v>
          </cell>
          <cell r="BD330">
            <v>3</v>
          </cell>
          <cell r="BE330">
            <v>0</v>
          </cell>
          <cell r="BF330">
            <v>2</v>
          </cell>
          <cell r="BG330">
            <v>0</v>
          </cell>
          <cell r="BH330">
            <v>0</v>
          </cell>
          <cell r="BI330">
            <v>0</v>
          </cell>
        </row>
        <row r="331">
          <cell r="C331" t="str">
            <v>Khuất Thị Nga</v>
          </cell>
          <cell r="D331">
            <v>1767</v>
          </cell>
          <cell r="AW331">
            <v>1</v>
          </cell>
          <cell r="AY331">
            <v>1</v>
          </cell>
          <cell r="BC331">
            <v>0</v>
          </cell>
          <cell r="BD331">
            <v>1</v>
          </cell>
          <cell r="BE331">
            <v>0</v>
          </cell>
          <cell r="BF331">
            <v>1</v>
          </cell>
          <cell r="BG331">
            <v>0</v>
          </cell>
          <cell r="BH331">
            <v>0</v>
          </cell>
          <cell r="BI331">
            <v>0</v>
          </cell>
        </row>
        <row r="332">
          <cell r="C332" t="str">
            <v>Hoàng Thị Thắm</v>
          </cell>
          <cell r="D332">
            <v>1317</v>
          </cell>
          <cell r="E332" t="str">
            <v>Trưởng bộ môn, CTCĐ</v>
          </cell>
          <cell r="G332">
            <v>1</v>
          </cell>
          <cell r="I332">
            <v>1</v>
          </cell>
          <cell r="N332">
            <v>1</v>
          </cell>
          <cell r="O332">
            <v>1</v>
          </cell>
          <cell r="S332">
            <v>1</v>
          </cell>
          <cell r="U332">
            <v>1</v>
          </cell>
          <cell r="W332">
            <v>1</v>
          </cell>
          <cell r="AB332">
            <v>1</v>
          </cell>
          <cell r="AD332">
            <v>1</v>
          </cell>
          <cell r="AI332">
            <v>1</v>
          </cell>
          <cell r="AJ332">
            <v>1</v>
          </cell>
          <cell r="AN332">
            <v>1</v>
          </cell>
          <cell r="AO332">
            <v>1</v>
          </cell>
          <cell r="AP332">
            <v>1</v>
          </cell>
          <cell r="AQ332">
            <v>1</v>
          </cell>
          <cell r="AU332">
            <v>1</v>
          </cell>
          <cell r="AW332">
            <v>1</v>
          </cell>
          <cell r="AX332">
            <v>1</v>
          </cell>
          <cell r="BC332">
            <v>1</v>
          </cell>
          <cell r="BD332">
            <v>6</v>
          </cell>
          <cell r="BE332">
            <v>4</v>
          </cell>
          <cell r="BF332">
            <v>2</v>
          </cell>
          <cell r="BG332">
            <v>0</v>
          </cell>
          <cell r="BH332">
            <v>0</v>
          </cell>
          <cell r="BI332">
            <v>3</v>
          </cell>
        </row>
        <row r="333">
          <cell r="C333" t="str">
            <v>Nguyễn Thị Lan Phương</v>
          </cell>
          <cell r="D333">
            <v>1316</v>
          </cell>
          <cell r="G333">
            <v>1</v>
          </cell>
          <cell r="H333">
            <v>1</v>
          </cell>
          <cell r="L333">
            <v>1</v>
          </cell>
          <cell r="N333">
            <v>1</v>
          </cell>
          <cell r="O333">
            <v>1</v>
          </cell>
          <cell r="S333">
            <v>1</v>
          </cell>
          <cell r="T333">
            <v>1</v>
          </cell>
          <cell r="U333">
            <v>1</v>
          </cell>
          <cell r="V333">
            <v>1</v>
          </cell>
          <cell r="Z333">
            <v>1</v>
          </cell>
          <cell r="AB333">
            <v>1</v>
          </cell>
          <cell r="AC333">
            <v>1</v>
          </cell>
          <cell r="AG333">
            <v>1</v>
          </cell>
          <cell r="AI333">
            <v>1</v>
          </cell>
          <cell r="AJ333">
            <v>1</v>
          </cell>
          <cell r="AN333">
            <v>1</v>
          </cell>
          <cell r="AP333">
            <v>1</v>
          </cell>
          <cell r="AW333">
            <v>1</v>
          </cell>
          <cell r="AY333">
            <v>1</v>
          </cell>
          <cell r="BC333">
            <v>1</v>
          </cell>
          <cell r="BD333">
            <v>6</v>
          </cell>
          <cell r="BE333">
            <v>4</v>
          </cell>
          <cell r="BF333">
            <v>1</v>
          </cell>
          <cell r="BG333">
            <v>0</v>
          </cell>
          <cell r="BH333">
            <v>0</v>
          </cell>
          <cell r="BI333">
            <v>4</v>
          </cell>
        </row>
        <row r="334">
          <cell r="C334" t="str">
            <v>Ngô Thị Minh Nguyệt</v>
          </cell>
          <cell r="D334">
            <v>1319</v>
          </cell>
          <cell r="G334">
            <v>1</v>
          </cell>
          <cell r="H334">
            <v>1</v>
          </cell>
          <cell r="L334">
            <v>1</v>
          </cell>
          <cell r="N334">
            <v>1</v>
          </cell>
          <cell r="O334">
            <v>1</v>
          </cell>
          <cell r="S334">
            <v>1</v>
          </cell>
          <cell r="U334">
            <v>1</v>
          </cell>
          <cell r="V334">
            <v>1</v>
          </cell>
          <cell r="Z334">
            <v>1</v>
          </cell>
          <cell r="AB334">
            <v>1</v>
          </cell>
          <cell r="AC334">
            <v>1</v>
          </cell>
          <cell r="AG334">
            <v>1</v>
          </cell>
          <cell r="AI334">
            <v>1</v>
          </cell>
          <cell r="AJ334">
            <v>1</v>
          </cell>
          <cell r="AN334">
            <v>1</v>
          </cell>
          <cell r="AP334">
            <v>1</v>
          </cell>
          <cell r="AW334">
            <v>1</v>
          </cell>
          <cell r="AY334">
            <v>1</v>
          </cell>
          <cell r="BC334">
            <v>0</v>
          </cell>
          <cell r="BD334">
            <v>6</v>
          </cell>
          <cell r="BE334">
            <v>4</v>
          </cell>
          <cell r="BF334">
            <v>1</v>
          </cell>
          <cell r="BG334">
            <v>0</v>
          </cell>
          <cell r="BH334">
            <v>0</v>
          </cell>
          <cell r="BI334">
            <v>4</v>
          </cell>
        </row>
        <row r="335">
          <cell r="C335" t="str">
            <v>Ngô Thị Huyền Trang</v>
          </cell>
          <cell r="D335">
            <v>1320</v>
          </cell>
          <cell r="F335">
            <v>1</v>
          </cell>
          <cell r="G335">
            <v>1</v>
          </cell>
          <cell r="H335">
            <v>1</v>
          </cell>
          <cell r="L335">
            <v>1</v>
          </cell>
          <cell r="M335">
            <v>1</v>
          </cell>
          <cell r="N335">
            <v>1</v>
          </cell>
          <cell r="O335">
            <v>1</v>
          </cell>
          <cell r="S335">
            <v>1</v>
          </cell>
          <cell r="U335">
            <v>1</v>
          </cell>
          <cell r="V335">
            <v>1</v>
          </cell>
          <cell r="Z335">
            <v>1</v>
          </cell>
          <cell r="AB335">
            <v>1</v>
          </cell>
          <cell r="AC335">
            <v>1</v>
          </cell>
          <cell r="AG335">
            <v>1</v>
          </cell>
          <cell r="AI335">
            <v>1</v>
          </cell>
          <cell r="AJ335">
            <v>1</v>
          </cell>
          <cell r="AN335">
            <v>1</v>
          </cell>
          <cell r="AP335">
            <v>1</v>
          </cell>
          <cell r="AQ335">
            <v>1</v>
          </cell>
          <cell r="AU335">
            <v>1</v>
          </cell>
          <cell r="AV335">
            <v>1</v>
          </cell>
          <cell r="AW335">
            <v>1</v>
          </cell>
          <cell r="AY335">
            <v>1</v>
          </cell>
          <cell r="BB335">
            <v>1</v>
          </cell>
          <cell r="BC335">
            <v>2</v>
          </cell>
          <cell r="BD335">
            <v>6</v>
          </cell>
          <cell r="BE335">
            <v>5</v>
          </cell>
          <cell r="BF335">
            <v>1</v>
          </cell>
          <cell r="BG335">
            <v>0</v>
          </cell>
          <cell r="BH335">
            <v>0</v>
          </cell>
          <cell r="BI335">
            <v>6</v>
          </cell>
        </row>
        <row r="336">
          <cell r="C336" t="str">
            <v>Vũ Thị Thu Hà</v>
          </cell>
          <cell r="D336">
            <v>1321</v>
          </cell>
          <cell r="G336">
            <v>1</v>
          </cell>
          <cell r="I336">
            <v>1</v>
          </cell>
          <cell r="N336">
            <v>1</v>
          </cell>
          <cell r="O336">
            <v>1</v>
          </cell>
          <cell r="S336">
            <v>1</v>
          </cell>
          <cell r="U336">
            <v>1</v>
          </cell>
          <cell r="V336">
            <v>1</v>
          </cell>
          <cell r="Z336">
            <v>1</v>
          </cell>
          <cell r="AB336">
            <v>1</v>
          </cell>
          <cell r="AC336">
            <v>1</v>
          </cell>
          <cell r="AG336">
            <v>1</v>
          </cell>
          <cell r="AI336">
            <v>1</v>
          </cell>
          <cell r="AJ336">
            <v>1</v>
          </cell>
          <cell r="AN336">
            <v>1</v>
          </cell>
          <cell r="AP336">
            <v>1</v>
          </cell>
          <cell r="AQ336">
            <v>1</v>
          </cell>
          <cell r="AU336">
            <v>1</v>
          </cell>
          <cell r="AW336">
            <v>1</v>
          </cell>
          <cell r="AY336">
            <v>1</v>
          </cell>
          <cell r="BC336">
            <v>0</v>
          </cell>
          <cell r="BD336">
            <v>6</v>
          </cell>
          <cell r="BE336">
            <v>5</v>
          </cell>
          <cell r="BF336">
            <v>1</v>
          </cell>
          <cell r="BG336">
            <v>0</v>
          </cell>
          <cell r="BH336">
            <v>0</v>
          </cell>
          <cell r="BI336">
            <v>5</v>
          </cell>
        </row>
        <row r="337">
          <cell r="C337" t="str">
            <v>Nguyễn Ngọc Diệp</v>
          </cell>
          <cell r="D337">
            <v>1322</v>
          </cell>
          <cell r="G337">
            <v>1</v>
          </cell>
          <cell r="H337">
            <v>1</v>
          </cell>
          <cell r="L337">
            <v>1</v>
          </cell>
          <cell r="N337">
            <v>1</v>
          </cell>
          <cell r="O337">
            <v>1</v>
          </cell>
          <cell r="S337">
            <v>1</v>
          </cell>
          <cell r="U337">
            <v>1</v>
          </cell>
          <cell r="V337">
            <v>1</v>
          </cell>
          <cell r="Z337">
            <v>1</v>
          </cell>
          <cell r="AB337">
            <v>1</v>
          </cell>
          <cell r="AC337">
            <v>1</v>
          </cell>
          <cell r="AG337">
            <v>1</v>
          </cell>
          <cell r="AI337">
            <v>1</v>
          </cell>
          <cell r="AJ337">
            <v>1</v>
          </cell>
          <cell r="AN337">
            <v>1</v>
          </cell>
          <cell r="AO337">
            <v>1</v>
          </cell>
          <cell r="AP337">
            <v>1</v>
          </cell>
          <cell r="AQ337">
            <v>1</v>
          </cell>
          <cell r="AU337">
            <v>1</v>
          </cell>
          <cell r="AW337">
            <v>1</v>
          </cell>
          <cell r="AX337">
            <v>1</v>
          </cell>
          <cell r="BC337">
            <v>1</v>
          </cell>
          <cell r="BD337">
            <v>6</v>
          </cell>
          <cell r="BE337">
            <v>6</v>
          </cell>
          <cell r="BF337">
            <v>0</v>
          </cell>
          <cell r="BG337">
            <v>0</v>
          </cell>
          <cell r="BH337">
            <v>0</v>
          </cell>
          <cell r="BI337">
            <v>5</v>
          </cell>
        </row>
        <row r="338">
          <cell r="C338" t="str">
            <v>Lê Văn Nguyên</v>
          </cell>
          <cell r="D338">
            <v>1323</v>
          </cell>
          <cell r="AI338">
            <v>1</v>
          </cell>
          <cell r="AK338">
            <v>1</v>
          </cell>
          <cell r="AP338">
            <v>1</v>
          </cell>
          <cell r="AW338">
            <v>1</v>
          </cell>
          <cell r="AY338">
            <v>1</v>
          </cell>
          <cell r="BC338">
            <v>0</v>
          </cell>
          <cell r="BD338">
            <v>3</v>
          </cell>
          <cell r="BE338">
            <v>0</v>
          </cell>
          <cell r="BF338">
            <v>2</v>
          </cell>
          <cell r="BG338">
            <v>0</v>
          </cell>
          <cell r="BH338">
            <v>0</v>
          </cell>
          <cell r="BI338">
            <v>0</v>
          </cell>
        </row>
        <row r="339">
          <cell r="C339" t="str">
            <v>Hoàng Thị Thúy</v>
          </cell>
          <cell r="D339">
            <v>1324</v>
          </cell>
          <cell r="AI339">
            <v>1</v>
          </cell>
          <cell r="AK339">
            <v>1</v>
          </cell>
          <cell r="AP339">
            <v>1</v>
          </cell>
          <cell r="AW339">
            <v>1</v>
          </cell>
          <cell r="AY339">
            <v>1</v>
          </cell>
          <cell r="BC339">
            <v>0</v>
          </cell>
          <cell r="BD339">
            <v>3</v>
          </cell>
          <cell r="BE339">
            <v>0</v>
          </cell>
          <cell r="BF339">
            <v>2</v>
          </cell>
          <cell r="BG339">
            <v>0</v>
          </cell>
          <cell r="BH339">
            <v>0</v>
          </cell>
          <cell r="BI339">
            <v>0</v>
          </cell>
        </row>
        <row r="340">
          <cell r="C340" t="str">
            <v>Nguyễn Thị Lan Phương</v>
          </cell>
          <cell r="D340">
            <v>1325</v>
          </cell>
          <cell r="E340" t="str">
            <v>Trưởng khoa, BTCB</v>
          </cell>
          <cell r="G340">
            <v>1</v>
          </cell>
          <cell r="H340">
            <v>1</v>
          </cell>
          <cell r="L340">
            <v>1</v>
          </cell>
          <cell r="M340">
            <v>1</v>
          </cell>
          <cell r="N340">
            <v>1</v>
          </cell>
          <cell r="O340">
            <v>1</v>
          </cell>
          <cell r="S340">
            <v>1</v>
          </cell>
          <cell r="U340">
            <v>1</v>
          </cell>
          <cell r="V340">
            <v>1</v>
          </cell>
          <cell r="Z340">
            <v>1</v>
          </cell>
          <cell r="AB340">
            <v>1</v>
          </cell>
          <cell r="AC340">
            <v>1</v>
          </cell>
          <cell r="AG340">
            <v>1</v>
          </cell>
          <cell r="AI340">
            <v>1</v>
          </cell>
          <cell r="AJ340">
            <v>1</v>
          </cell>
          <cell r="AN340">
            <v>1</v>
          </cell>
          <cell r="AW340">
            <v>1</v>
          </cell>
          <cell r="AY340">
            <v>1</v>
          </cell>
          <cell r="BC340">
            <v>0</v>
          </cell>
          <cell r="BD340">
            <v>4</v>
          </cell>
          <cell r="BE340">
            <v>3</v>
          </cell>
          <cell r="BF340">
            <v>1</v>
          </cell>
          <cell r="BG340">
            <v>0</v>
          </cell>
          <cell r="BH340">
            <v>0</v>
          </cell>
          <cell r="BI340">
            <v>3</v>
          </cell>
        </row>
        <row r="341">
          <cell r="C341" t="str">
            <v>Nguyễn Bích Hồng</v>
          </cell>
          <cell r="D341">
            <v>1326</v>
          </cell>
          <cell r="E341" t="str">
            <v>PCNV Trưởng bộ môn</v>
          </cell>
          <cell r="F341">
            <v>1</v>
          </cell>
          <cell r="G341">
            <v>1</v>
          </cell>
          <cell r="H341">
            <v>1</v>
          </cell>
          <cell r="L341">
            <v>1</v>
          </cell>
          <cell r="N341">
            <v>1</v>
          </cell>
          <cell r="O341">
            <v>1</v>
          </cell>
          <cell r="S341">
            <v>1</v>
          </cell>
          <cell r="U341">
            <v>1</v>
          </cell>
          <cell r="V341">
            <v>1</v>
          </cell>
          <cell r="Z341">
            <v>1</v>
          </cell>
          <cell r="AB341">
            <v>1</v>
          </cell>
          <cell r="AC341">
            <v>1</v>
          </cell>
          <cell r="AG341">
            <v>1</v>
          </cell>
          <cell r="AI341">
            <v>1</v>
          </cell>
          <cell r="AK341">
            <v>1</v>
          </cell>
          <cell r="AV341">
            <v>1</v>
          </cell>
          <cell r="AW341">
            <v>1</v>
          </cell>
          <cell r="AX341">
            <v>1</v>
          </cell>
          <cell r="BB341">
            <v>1</v>
          </cell>
          <cell r="BC341">
            <v>1</v>
          </cell>
          <cell r="BD341">
            <v>5</v>
          </cell>
          <cell r="BE341">
            <v>4</v>
          </cell>
          <cell r="BF341">
            <v>1</v>
          </cell>
          <cell r="BG341">
            <v>0</v>
          </cell>
          <cell r="BH341">
            <v>0</v>
          </cell>
          <cell r="BI341">
            <v>4</v>
          </cell>
        </row>
        <row r="342">
          <cell r="C342" t="str">
            <v>Phan Tú Lan</v>
          </cell>
          <cell r="D342">
            <v>1327</v>
          </cell>
          <cell r="G342">
            <v>1</v>
          </cell>
          <cell r="H342">
            <v>1</v>
          </cell>
          <cell r="L342">
            <v>1</v>
          </cell>
          <cell r="N342">
            <v>1</v>
          </cell>
          <cell r="O342">
            <v>1</v>
          </cell>
          <cell r="S342">
            <v>1</v>
          </cell>
          <cell r="U342">
            <v>1</v>
          </cell>
          <cell r="V342">
            <v>1</v>
          </cell>
          <cell r="Z342">
            <v>1</v>
          </cell>
          <cell r="AB342">
            <v>1</v>
          </cell>
          <cell r="AC342">
            <v>1</v>
          </cell>
          <cell r="AG342">
            <v>1</v>
          </cell>
          <cell r="AI342">
            <v>1</v>
          </cell>
          <cell r="AJ342">
            <v>1</v>
          </cell>
          <cell r="AN342">
            <v>1</v>
          </cell>
          <cell r="AP342">
            <v>1</v>
          </cell>
          <cell r="AW342">
            <v>1</v>
          </cell>
          <cell r="AY342">
            <v>1</v>
          </cell>
          <cell r="BC342">
            <v>0</v>
          </cell>
          <cell r="BD342">
            <v>6</v>
          </cell>
          <cell r="BE342">
            <v>4</v>
          </cell>
          <cell r="BF342">
            <v>1</v>
          </cell>
          <cell r="BG342">
            <v>0</v>
          </cell>
          <cell r="BH342">
            <v>0</v>
          </cell>
          <cell r="BI342">
            <v>4</v>
          </cell>
        </row>
        <row r="343">
          <cell r="C343" t="str">
            <v>Nguyễn Thị Xuân Phương</v>
          </cell>
          <cell r="D343">
            <v>1328</v>
          </cell>
          <cell r="E343" t="str">
            <v>PCNV Phó Trưởng bộ môn</v>
          </cell>
          <cell r="G343">
            <v>1</v>
          </cell>
          <cell r="H343">
            <v>1</v>
          </cell>
          <cell r="L343">
            <v>1</v>
          </cell>
          <cell r="M343">
            <v>1</v>
          </cell>
          <cell r="N343">
            <v>1</v>
          </cell>
          <cell r="O343">
            <v>1</v>
          </cell>
          <cell r="S343">
            <v>1</v>
          </cell>
          <cell r="U343">
            <v>1</v>
          </cell>
          <cell r="W343">
            <v>1</v>
          </cell>
          <cell r="AB343">
            <v>1</v>
          </cell>
          <cell r="AC343">
            <v>1</v>
          </cell>
          <cell r="AG343">
            <v>1</v>
          </cell>
          <cell r="AI343">
            <v>1</v>
          </cell>
          <cell r="AK343">
            <v>1</v>
          </cell>
          <cell r="AP343">
            <v>1</v>
          </cell>
          <cell r="AV343">
            <v>1</v>
          </cell>
          <cell r="AW343">
            <v>1</v>
          </cell>
          <cell r="AX343">
            <v>1</v>
          </cell>
          <cell r="BB343">
            <v>1</v>
          </cell>
          <cell r="BC343">
            <v>2</v>
          </cell>
          <cell r="BD343">
            <v>6</v>
          </cell>
          <cell r="BE343">
            <v>3</v>
          </cell>
          <cell r="BF343">
            <v>2</v>
          </cell>
          <cell r="BG343">
            <v>0</v>
          </cell>
          <cell r="BH343">
            <v>0</v>
          </cell>
          <cell r="BI343">
            <v>3</v>
          </cell>
        </row>
        <row r="344">
          <cell r="C344" t="str">
            <v>Nguyễn Thùy Linh</v>
          </cell>
          <cell r="D344">
            <v>1329</v>
          </cell>
          <cell r="G344">
            <v>1</v>
          </cell>
          <cell r="I344">
            <v>1</v>
          </cell>
          <cell r="Q344">
            <v>1</v>
          </cell>
          <cell r="T344">
            <v>1</v>
          </cell>
          <cell r="U344">
            <v>1</v>
          </cell>
          <cell r="V344">
            <v>1</v>
          </cell>
          <cell r="Z344">
            <v>1</v>
          </cell>
          <cell r="AA344">
            <v>1</v>
          </cell>
          <cell r="AB344">
            <v>1</v>
          </cell>
          <cell r="AC344">
            <v>1</v>
          </cell>
          <cell r="AG344">
            <v>1</v>
          </cell>
          <cell r="AI344">
            <v>1</v>
          </cell>
          <cell r="AJ344">
            <v>1</v>
          </cell>
          <cell r="AN344">
            <v>1</v>
          </cell>
          <cell r="AP344">
            <v>1</v>
          </cell>
          <cell r="AQ344">
            <v>1</v>
          </cell>
          <cell r="AU344">
            <v>1</v>
          </cell>
          <cell r="AW344">
            <v>1</v>
          </cell>
          <cell r="AY344">
            <v>1</v>
          </cell>
          <cell r="BC344">
            <v>2</v>
          </cell>
          <cell r="BD344">
            <v>5</v>
          </cell>
          <cell r="BE344">
            <v>4</v>
          </cell>
          <cell r="BF344">
            <v>1</v>
          </cell>
          <cell r="BG344">
            <v>1</v>
          </cell>
          <cell r="BH344">
            <v>0</v>
          </cell>
          <cell r="BI344">
            <v>4</v>
          </cell>
        </row>
        <row r="345">
          <cell r="C345" t="str">
            <v>Phạm Thị Phương Liên</v>
          </cell>
          <cell r="D345">
            <v>1330</v>
          </cell>
          <cell r="F345">
            <v>1</v>
          </cell>
          <cell r="G345">
            <v>1</v>
          </cell>
          <cell r="H345">
            <v>1</v>
          </cell>
          <cell r="L345">
            <v>1</v>
          </cell>
          <cell r="N345">
            <v>1</v>
          </cell>
          <cell r="O345">
            <v>1</v>
          </cell>
          <cell r="S345">
            <v>1</v>
          </cell>
          <cell r="U345">
            <v>1</v>
          </cell>
          <cell r="W345">
            <v>1</v>
          </cell>
          <cell r="AB345">
            <v>1</v>
          </cell>
          <cell r="AC345">
            <v>1</v>
          </cell>
          <cell r="AG345">
            <v>1</v>
          </cell>
          <cell r="AI345">
            <v>1</v>
          </cell>
          <cell r="AK345">
            <v>1</v>
          </cell>
          <cell r="AP345">
            <v>1</v>
          </cell>
          <cell r="AQ345">
            <v>1</v>
          </cell>
          <cell r="AU345">
            <v>1</v>
          </cell>
          <cell r="AW345">
            <v>1</v>
          </cell>
          <cell r="AY345">
            <v>1</v>
          </cell>
          <cell r="BC345">
            <v>0</v>
          </cell>
          <cell r="BD345">
            <v>6</v>
          </cell>
          <cell r="BE345">
            <v>3</v>
          </cell>
          <cell r="BF345">
            <v>3</v>
          </cell>
          <cell r="BG345">
            <v>0</v>
          </cell>
          <cell r="BH345">
            <v>0</v>
          </cell>
          <cell r="BI345">
            <v>3</v>
          </cell>
        </row>
        <row r="346">
          <cell r="C346" t="str">
            <v>Vũ Thị Hạnh</v>
          </cell>
          <cell r="D346">
            <v>1331</v>
          </cell>
          <cell r="G346">
            <v>1</v>
          </cell>
          <cell r="I346">
            <v>1</v>
          </cell>
          <cell r="N346">
            <v>1</v>
          </cell>
          <cell r="P346">
            <v>1</v>
          </cell>
          <cell r="U346">
            <v>1</v>
          </cell>
          <cell r="W346">
            <v>1</v>
          </cell>
          <cell r="AB346">
            <v>1</v>
          </cell>
          <cell r="AD346">
            <v>1</v>
          </cell>
          <cell r="AI346">
            <v>1</v>
          </cell>
          <cell r="AJ346">
            <v>1</v>
          </cell>
          <cell r="AN346">
            <v>1</v>
          </cell>
          <cell r="AP346">
            <v>1</v>
          </cell>
          <cell r="AW346">
            <v>1</v>
          </cell>
          <cell r="AY346">
            <v>1</v>
          </cell>
          <cell r="BC346">
            <v>0</v>
          </cell>
          <cell r="BD346">
            <v>6</v>
          </cell>
          <cell r="BE346">
            <v>1</v>
          </cell>
          <cell r="BF346">
            <v>4</v>
          </cell>
          <cell r="BG346">
            <v>0</v>
          </cell>
          <cell r="BH346">
            <v>0</v>
          </cell>
          <cell r="BI346">
            <v>1</v>
          </cell>
        </row>
        <row r="347">
          <cell r="C347" t="str">
            <v>Vũ Thị Thanh Hoa</v>
          </cell>
          <cell r="D347">
            <v>1332</v>
          </cell>
          <cell r="G347">
            <v>1</v>
          </cell>
          <cell r="I347">
            <v>1</v>
          </cell>
          <cell r="N347">
            <v>1</v>
          </cell>
          <cell r="P347">
            <v>1</v>
          </cell>
          <cell r="U347">
            <v>1</v>
          </cell>
          <cell r="W347">
            <v>1</v>
          </cell>
          <cell r="AA347">
            <v>1</v>
          </cell>
          <cell r="AB347">
            <v>1</v>
          </cell>
          <cell r="AC347">
            <v>1</v>
          </cell>
          <cell r="AG347">
            <v>1</v>
          </cell>
          <cell r="AI347">
            <v>1</v>
          </cell>
          <cell r="AJ347">
            <v>1</v>
          </cell>
          <cell r="AN347">
            <v>1</v>
          </cell>
          <cell r="AO347">
            <v>1</v>
          </cell>
          <cell r="AP347">
            <v>1</v>
          </cell>
          <cell r="AQ347">
            <v>1</v>
          </cell>
          <cell r="AU347">
            <v>1</v>
          </cell>
          <cell r="AW347">
            <v>1</v>
          </cell>
          <cell r="AY347">
            <v>1</v>
          </cell>
          <cell r="BC347">
            <v>2</v>
          </cell>
          <cell r="BD347">
            <v>6</v>
          </cell>
          <cell r="BE347">
            <v>3</v>
          </cell>
          <cell r="BF347">
            <v>3</v>
          </cell>
          <cell r="BG347">
            <v>0</v>
          </cell>
          <cell r="BH347">
            <v>0</v>
          </cell>
          <cell r="BI347">
            <v>3</v>
          </cell>
        </row>
        <row r="348">
          <cell r="C348" t="str">
            <v>Nguyễn Thị Trà My</v>
          </cell>
          <cell r="D348">
            <v>1333</v>
          </cell>
          <cell r="G348">
            <v>1</v>
          </cell>
          <cell r="I348">
            <v>1</v>
          </cell>
          <cell r="Q348">
            <v>1</v>
          </cell>
          <cell r="AI348">
            <v>1</v>
          </cell>
          <cell r="AK348">
            <v>1</v>
          </cell>
          <cell r="AP348">
            <v>1</v>
          </cell>
          <cell r="AW348">
            <v>1</v>
          </cell>
          <cell r="AY348">
            <v>1</v>
          </cell>
          <cell r="BC348">
            <v>0</v>
          </cell>
          <cell r="BD348">
            <v>3</v>
          </cell>
          <cell r="BE348">
            <v>0</v>
          </cell>
          <cell r="BF348">
            <v>2</v>
          </cell>
          <cell r="BG348">
            <v>1</v>
          </cell>
          <cell r="BH348">
            <v>0</v>
          </cell>
          <cell r="BI348">
            <v>0</v>
          </cell>
        </row>
        <row r="349">
          <cell r="C349" t="str">
            <v>Lê Thị Phương Mai</v>
          </cell>
          <cell r="D349">
            <v>1334</v>
          </cell>
          <cell r="G349">
            <v>1</v>
          </cell>
          <cell r="I349">
            <v>1</v>
          </cell>
          <cell r="N349">
            <v>1</v>
          </cell>
          <cell r="P349">
            <v>1</v>
          </cell>
          <cell r="U349">
            <v>1</v>
          </cell>
          <cell r="W349">
            <v>1</v>
          </cell>
          <cell r="AB349">
            <v>1</v>
          </cell>
          <cell r="AD349">
            <v>1</v>
          </cell>
          <cell r="AI349">
            <v>1</v>
          </cell>
          <cell r="AK349">
            <v>1</v>
          </cell>
          <cell r="AT349">
            <v>1</v>
          </cell>
          <cell r="AW349">
            <v>1</v>
          </cell>
          <cell r="AY349">
            <v>1</v>
          </cell>
          <cell r="BC349">
            <v>0</v>
          </cell>
          <cell r="BD349">
            <v>5</v>
          </cell>
          <cell r="BE349">
            <v>0</v>
          </cell>
          <cell r="BF349">
            <v>5</v>
          </cell>
          <cell r="BG349">
            <v>0</v>
          </cell>
          <cell r="BH349">
            <v>1</v>
          </cell>
          <cell r="BI349">
            <v>0</v>
          </cell>
        </row>
        <row r="350">
          <cell r="C350" t="str">
            <v>Vũ Thị Thu Trang</v>
          </cell>
          <cell r="D350">
            <v>1335</v>
          </cell>
          <cell r="E350" t="str">
            <v>CTCĐ</v>
          </cell>
          <cell r="G350">
            <v>1</v>
          </cell>
          <cell r="I350">
            <v>1</v>
          </cell>
          <cell r="N350">
            <v>1</v>
          </cell>
          <cell r="P350">
            <v>1</v>
          </cell>
          <cell r="T350">
            <v>1</v>
          </cell>
          <cell r="U350">
            <v>1</v>
          </cell>
          <cell r="V350">
            <v>1</v>
          </cell>
          <cell r="Z350">
            <v>1</v>
          </cell>
          <cell r="AB350">
            <v>1</v>
          </cell>
          <cell r="AC350">
            <v>1</v>
          </cell>
          <cell r="AG350">
            <v>1</v>
          </cell>
          <cell r="AI350">
            <v>1</v>
          </cell>
          <cell r="AJ350">
            <v>1</v>
          </cell>
          <cell r="AN350">
            <v>1</v>
          </cell>
          <cell r="AP350">
            <v>1</v>
          </cell>
          <cell r="AQ350">
            <v>1</v>
          </cell>
          <cell r="AU350">
            <v>1</v>
          </cell>
          <cell r="AV350">
            <v>1</v>
          </cell>
          <cell r="AW350">
            <v>1</v>
          </cell>
          <cell r="AX350">
            <v>1</v>
          </cell>
          <cell r="BB350">
            <v>1</v>
          </cell>
          <cell r="BC350">
            <v>2</v>
          </cell>
          <cell r="BD350">
            <v>6</v>
          </cell>
          <cell r="BE350">
            <v>5</v>
          </cell>
          <cell r="BF350">
            <v>1</v>
          </cell>
          <cell r="BG350">
            <v>0</v>
          </cell>
          <cell r="BH350">
            <v>0</v>
          </cell>
          <cell r="BI350">
            <v>5</v>
          </cell>
        </row>
        <row r="351">
          <cell r="C351" t="str">
            <v>Đỗ Diệp Linh</v>
          </cell>
          <cell r="D351">
            <v>1336</v>
          </cell>
          <cell r="AB351">
            <v>1</v>
          </cell>
          <cell r="AD351">
            <v>1</v>
          </cell>
          <cell r="AI351">
            <v>1</v>
          </cell>
          <cell r="AJ351">
            <v>1</v>
          </cell>
          <cell r="AN351">
            <v>1</v>
          </cell>
          <cell r="AP351">
            <v>1</v>
          </cell>
          <cell r="AW351">
            <v>1</v>
          </cell>
          <cell r="AY351">
            <v>1</v>
          </cell>
          <cell r="BC351">
            <v>0</v>
          </cell>
          <cell r="BD351">
            <v>4</v>
          </cell>
          <cell r="BE351">
            <v>1</v>
          </cell>
          <cell r="BF351">
            <v>2</v>
          </cell>
          <cell r="BG351">
            <v>0</v>
          </cell>
          <cell r="BH351">
            <v>0</v>
          </cell>
          <cell r="BI351">
            <v>1</v>
          </cell>
        </row>
        <row r="352">
          <cell r="C352" t="str">
            <v>Đàm Thị Hồng Nhung</v>
          </cell>
          <cell r="D352">
            <v>1337</v>
          </cell>
          <cell r="AB352">
            <v>1</v>
          </cell>
          <cell r="AD352">
            <v>1</v>
          </cell>
          <cell r="AI352">
            <v>1</v>
          </cell>
          <cell r="AK352">
            <v>1</v>
          </cell>
          <cell r="AP352">
            <v>1</v>
          </cell>
          <cell r="AQ352">
            <v>1</v>
          </cell>
          <cell r="AU352">
            <v>1</v>
          </cell>
          <cell r="AW352">
            <v>1</v>
          </cell>
          <cell r="AY352">
            <v>1</v>
          </cell>
          <cell r="BC352">
            <v>0</v>
          </cell>
          <cell r="BD352">
            <v>4</v>
          </cell>
          <cell r="BE352">
            <v>1</v>
          </cell>
          <cell r="BF352">
            <v>3</v>
          </cell>
          <cell r="BG352">
            <v>0</v>
          </cell>
          <cell r="BH352">
            <v>0</v>
          </cell>
          <cell r="BI352">
            <v>1</v>
          </cell>
        </row>
        <row r="353">
          <cell r="C353" t="str">
            <v>Nguyễn Quỳnh Anh</v>
          </cell>
          <cell r="D353">
            <v>1338</v>
          </cell>
          <cell r="AI353">
            <v>1</v>
          </cell>
          <cell r="AJ353">
            <v>1</v>
          </cell>
          <cell r="AN353">
            <v>1</v>
          </cell>
          <cell r="AP353">
            <v>1</v>
          </cell>
          <cell r="AV353">
            <v>1</v>
          </cell>
          <cell r="AW353">
            <v>1</v>
          </cell>
          <cell r="AY353">
            <v>1</v>
          </cell>
          <cell r="BB353">
            <v>1</v>
          </cell>
          <cell r="BC353">
            <v>1</v>
          </cell>
          <cell r="BD353">
            <v>3</v>
          </cell>
          <cell r="BE353">
            <v>1</v>
          </cell>
          <cell r="BF353">
            <v>1</v>
          </cell>
          <cell r="BG353">
            <v>0</v>
          </cell>
          <cell r="BH353">
            <v>0</v>
          </cell>
          <cell r="BI353">
            <v>2</v>
          </cell>
        </row>
        <row r="354">
          <cell r="C354" t="str">
            <v>Đặng Thị Khánh Hà</v>
          </cell>
          <cell r="D354">
            <v>1339</v>
          </cell>
          <cell r="AI354">
            <v>1</v>
          </cell>
          <cell r="AJ354">
            <v>1</v>
          </cell>
          <cell r="AN354">
            <v>1</v>
          </cell>
          <cell r="AO354">
            <v>1</v>
          </cell>
          <cell r="AP354">
            <v>1</v>
          </cell>
          <cell r="AQ354">
            <v>1</v>
          </cell>
          <cell r="AU354">
            <v>1</v>
          </cell>
          <cell r="AW354">
            <v>1</v>
          </cell>
          <cell r="AY354">
            <v>1</v>
          </cell>
          <cell r="BC354">
            <v>1</v>
          </cell>
          <cell r="BD354">
            <v>3</v>
          </cell>
          <cell r="BE354">
            <v>2</v>
          </cell>
          <cell r="BF354">
            <v>1</v>
          </cell>
          <cell r="BG354">
            <v>0</v>
          </cell>
          <cell r="BH354">
            <v>0</v>
          </cell>
          <cell r="BI354">
            <v>2</v>
          </cell>
        </row>
        <row r="355">
          <cell r="C355" t="str">
            <v>Nguyễn Thị Minh Thương</v>
          </cell>
          <cell r="AI355">
            <v>1</v>
          </cell>
          <cell r="AK355">
            <v>1</v>
          </cell>
          <cell r="AP355">
            <v>1</v>
          </cell>
          <cell r="BC355">
            <v>0</v>
          </cell>
          <cell r="BD355">
            <v>2</v>
          </cell>
          <cell r="BE355">
            <v>0</v>
          </cell>
          <cell r="BF355">
            <v>1</v>
          </cell>
          <cell r="BG355">
            <v>0</v>
          </cell>
          <cell r="BH355">
            <v>0</v>
          </cell>
          <cell r="BI355">
            <v>0</v>
          </cell>
        </row>
        <row r="356">
          <cell r="C356" t="str">
            <v>Bùi Thị Thu Trang</v>
          </cell>
          <cell r="D356">
            <v>1341</v>
          </cell>
          <cell r="AI356">
            <v>1</v>
          </cell>
          <cell r="AK356">
            <v>1</v>
          </cell>
          <cell r="AP356">
            <v>1</v>
          </cell>
          <cell r="AQ356">
            <v>1</v>
          </cell>
          <cell r="AU356">
            <v>1</v>
          </cell>
          <cell r="AW356">
            <v>1</v>
          </cell>
          <cell r="AY356">
            <v>1</v>
          </cell>
          <cell r="BC356">
            <v>0</v>
          </cell>
          <cell r="BD356">
            <v>3</v>
          </cell>
          <cell r="BE356">
            <v>1</v>
          </cell>
          <cell r="BF356">
            <v>2</v>
          </cell>
          <cell r="BG356">
            <v>0</v>
          </cell>
          <cell r="BH356">
            <v>0</v>
          </cell>
          <cell r="BI356">
            <v>1</v>
          </cell>
        </row>
        <row r="357">
          <cell r="C357" t="str">
            <v>Nguyễn Quỳnh Mai</v>
          </cell>
          <cell r="D357">
            <v>1342</v>
          </cell>
          <cell r="AI357">
            <v>1</v>
          </cell>
          <cell r="AK357">
            <v>1</v>
          </cell>
          <cell r="AP357">
            <v>1</v>
          </cell>
          <cell r="AW357">
            <v>1</v>
          </cell>
          <cell r="AY357">
            <v>1</v>
          </cell>
          <cell r="BC357">
            <v>0</v>
          </cell>
          <cell r="BD357">
            <v>3</v>
          </cell>
          <cell r="BE357">
            <v>0</v>
          </cell>
          <cell r="BF357">
            <v>2</v>
          </cell>
          <cell r="BG357">
            <v>0</v>
          </cell>
          <cell r="BH357">
            <v>0</v>
          </cell>
          <cell r="BI357">
            <v>0</v>
          </cell>
        </row>
        <row r="358">
          <cell r="C358" t="str">
            <v>Nguyễn Thùy Dương</v>
          </cell>
          <cell r="D358">
            <v>1343</v>
          </cell>
          <cell r="E358" t="str">
            <v>CV VP khoa</v>
          </cell>
          <cell r="G358">
            <v>1</v>
          </cell>
          <cell r="I358">
            <v>1</v>
          </cell>
          <cell r="N358">
            <v>1</v>
          </cell>
          <cell r="O358">
            <v>1</v>
          </cell>
          <cell r="S358">
            <v>1</v>
          </cell>
          <cell r="U358">
            <v>1</v>
          </cell>
          <cell r="V358">
            <v>1</v>
          </cell>
          <cell r="Z358">
            <v>1</v>
          </cell>
          <cell r="AB358">
            <v>1</v>
          </cell>
          <cell r="AD358">
            <v>1</v>
          </cell>
          <cell r="AI358">
            <v>1</v>
          </cell>
          <cell r="AJ358">
            <v>1</v>
          </cell>
          <cell r="AN358">
            <v>1</v>
          </cell>
          <cell r="AO358">
            <v>1</v>
          </cell>
          <cell r="AP358">
            <v>1</v>
          </cell>
          <cell r="AQ358">
            <v>1</v>
          </cell>
          <cell r="AU358">
            <v>1</v>
          </cell>
          <cell r="AW358">
            <v>1</v>
          </cell>
          <cell r="AY358">
            <v>1</v>
          </cell>
          <cell r="BC358">
            <v>1</v>
          </cell>
          <cell r="BD358">
            <v>5</v>
          </cell>
          <cell r="BE358">
            <v>3</v>
          </cell>
          <cell r="BF358">
            <v>2</v>
          </cell>
          <cell r="BG358">
            <v>0</v>
          </cell>
          <cell r="BH358">
            <v>0</v>
          </cell>
          <cell r="BI358">
            <v>3</v>
          </cell>
        </row>
        <row r="359">
          <cell r="C359" t="str">
            <v>Nguyễn Thị Thủy Chung</v>
          </cell>
          <cell r="D359">
            <v>1344</v>
          </cell>
          <cell r="E359" t="str">
            <v>Phó Trưởng khoa, PTBCB</v>
          </cell>
          <cell r="G359">
            <v>1</v>
          </cell>
          <cell r="H359">
            <v>1</v>
          </cell>
          <cell r="L359">
            <v>1</v>
          </cell>
          <cell r="N359">
            <v>1</v>
          </cell>
          <cell r="O359">
            <v>1</v>
          </cell>
          <cell r="S359">
            <v>1</v>
          </cell>
          <cell r="U359">
            <v>1</v>
          </cell>
          <cell r="V359">
            <v>1</v>
          </cell>
          <cell r="Z359">
            <v>1</v>
          </cell>
          <cell r="AB359">
            <v>1</v>
          </cell>
          <cell r="AC359">
            <v>1</v>
          </cell>
          <cell r="AG359">
            <v>1</v>
          </cell>
          <cell r="AI359">
            <v>1</v>
          </cell>
          <cell r="AJ359">
            <v>1</v>
          </cell>
          <cell r="AN359">
            <v>1</v>
          </cell>
          <cell r="AP359">
            <v>1</v>
          </cell>
          <cell r="AQ359">
            <v>1</v>
          </cell>
          <cell r="AU359">
            <v>1</v>
          </cell>
          <cell r="AV359">
            <v>1</v>
          </cell>
          <cell r="AW359">
            <v>1</v>
          </cell>
          <cell r="AX359">
            <v>1</v>
          </cell>
          <cell r="BB359">
            <v>1</v>
          </cell>
          <cell r="BC359">
            <v>1</v>
          </cell>
          <cell r="BD359">
            <v>6</v>
          </cell>
          <cell r="BE359">
            <v>6</v>
          </cell>
          <cell r="BF359">
            <v>0</v>
          </cell>
          <cell r="BG359">
            <v>0</v>
          </cell>
          <cell r="BH359">
            <v>0</v>
          </cell>
          <cell r="BI359">
            <v>6</v>
          </cell>
        </row>
        <row r="360">
          <cell r="C360" t="str">
            <v>Phạm Thuỳ Giang</v>
          </cell>
          <cell r="D360">
            <v>1345</v>
          </cell>
          <cell r="E360" t="str">
            <v>PCNV Trưởng bộ môn</v>
          </cell>
          <cell r="G360">
            <v>1</v>
          </cell>
          <cell r="H360">
            <v>1</v>
          </cell>
          <cell r="L360">
            <v>1</v>
          </cell>
          <cell r="N360">
            <v>1</v>
          </cell>
          <cell r="P360">
            <v>1</v>
          </cell>
          <cell r="U360">
            <v>1</v>
          </cell>
          <cell r="V360">
            <v>1</v>
          </cell>
          <cell r="Z360">
            <v>1</v>
          </cell>
          <cell r="AB360">
            <v>1</v>
          </cell>
          <cell r="AC360">
            <v>1</v>
          </cell>
          <cell r="AG360">
            <v>1</v>
          </cell>
          <cell r="AI360">
            <v>1</v>
          </cell>
          <cell r="AK360">
            <v>1</v>
          </cell>
          <cell r="AP360">
            <v>1</v>
          </cell>
          <cell r="AW360">
            <v>1</v>
          </cell>
          <cell r="AY360">
            <v>1</v>
          </cell>
          <cell r="BC360">
            <v>0</v>
          </cell>
          <cell r="BD360">
            <v>6</v>
          </cell>
          <cell r="BE360">
            <v>2</v>
          </cell>
          <cell r="BF360">
            <v>3</v>
          </cell>
          <cell r="BG360">
            <v>0</v>
          </cell>
          <cell r="BH360">
            <v>0</v>
          </cell>
          <cell r="BI360">
            <v>2</v>
          </cell>
        </row>
        <row r="361">
          <cell r="C361" t="str">
            <v>Nguyễn Thị Thúy Hạnh</v>
          </cell>
          <cell r="D361">
            <v>1346</v>
          </cell>
          <cell r="E361" t="str">
            <v>PCNV Phó Trưởng bộ môn</v>
          </cell>
          <cell r="G361">
            <v>1</v>
          </cell>
          <cell r="I361">
            <v>1</v>
          </cell>
          <cell r="N361">
            <v>1</v>
          </cell>
          <cell r="P361">
            <v>1</v>
          </cell>
          <cell r="U361">
            <v>1</v>
          </cell>
          <cell r="W361">
            <v>1</v>
          </cell>
          <cell r="AB361">
            <v>1</v>
          </cell>
          <cell r="AC361">
            <v>1</v>
          </cell>
          <cell r="AG361">
            <v>1</v>
          </cell>
          <cell r="AI361">
            <v>1</v>
          </cell>
          <cell r="AJ361">
            <v>1</v>
          </cell>
          <cell r="AN361">
            <v>1</v>
          </cell>
          <cell r="AO361">
            <v>1</v>
          </cell>
          <cell r="AP361">
            <v>1</v>
          </cell>
          <cell r="AQ361">
            <v>1</v>
          </cell>
          <cell r="AU361">
            <v>1</v>
          </cell>
          <cell r="AV361">
            <v>1</v>
          </cell>
          <cell r="AW361">
            <v>1</v>
          </cell>
          <cell r="AX361">
            <v>1</v>
          </cell>
          <cell r="BC361">
            <v>2</v>
          </cell>
          <cell r="BD361">
            <v>6</v>
          </cell>
          <cell r="BE361">
            <v>4</v>
          </cell>
          <cell r="BF361">
            <v>2</v>
          </cell>
          <cell r="BG361">
            <v>0</v>
          </cell>
          <cell r="BH361">
            <v>0</v>
          </cell>
          <cell r="BI361">
            <v>3</v>
          </cell>
        </row>
        <row r="362">
          <cell r="C362" t="str">
            <v>Nguyễn Thị Thanh Huyền</v>
          </cell>
          <cell r="G362">
            <v>1</v>
          </cell>
          <cell r="H362">
            <v>1</v>
          </cell>
          <cell r="L362">
            <v>1</v>
          </cell>
          <cell r="M362">
            <v>1</v>
          </cell>
          <cell r="N362">
            <v>1</v>
          </cell>
          <cell r="O362">
            <v>1</v>
          </cell>
          <cell r="S362">
            <v>1</v>
          </cell>
          <cell r="U362">
            <v>1</v>
          </cell>
          <cell r="V362">
            <v>1</v>
          </cell>
          <cell r="Z362">
            <v>1</v>
          </cell>
          <cell r="AB362">
            <v>1</v>
          </cell>
          <cell r="AC362">
            <v>1</v>
          </cell>
          <cell r="AG362">
            <v>1</v>
          </cell>
          <cell r="AI362">
            <v>1</v>
          </cell>
          <cell r="AJ362">
            <v>1</v>
          </cell>
          <cell r="AN362">
            <v>1</v>
          </cell>
          <cell r="AP362">
            <v>1</v>
          </cell>
          <cell r="AQ362">
            <v>1</v>
          </cell>
          <cell r="AU362">
            <v>1</v>
          </cell>
          <cell r="BC362">
            <v>1</v>
          </cell>
          <cell r="BD362">
            <v>5</v>
          </cell>
          <cell r="BE362">
            <v>5</v>
          </cell>
          <cell r="BF362">
            <v>0</v>
          </cell>
          <cell r="BG362">
            <v>0</v>
          </cell>
          <cell r="BH362">
            <v>0</v>
          </cell>
          <cell r="BI362">
            <v>5</v>
          </cell>
        </row>
        <row r="363">
          <cell r="C363" t="str">
            <v>Trần Thị Thu Hiền</v>
          </cell>
          <cell r="D363">
            <v>1348</v>
          </cell>
          <cell r="G363">
            <v>1</v>
          </cell>
          <cell r="H363">
            <v>1</v>
          </cell>
          <cell r="L363">
            <v>1</v>
          </cell>
          <cell r="N363">
            <v>1</v>
          </cell>
          <cell r="O363">
            <v>1</v>
          </cell>
          <cell r="S363">
            <v>1</v>
          </cell>
          <cell r="U363">
            <v>1</v>
          </cell>
          <cell r="W363">
            <v>1</v>
          </cell>
          <cell r="AA363">
            <v>1</v>
          </cell>
          <cell r="AB363">
            <v>1</v>
          </cell>
          <cell r="AC363">
            <v>1</v>
          </cell>
          <cell r="AG363">
            <v>1</v>
          </cell>
          <cell r="AH363">
            <v>1</v>
          </cell>
          <cell r="AI363">
            <v>1</v>
          </cell>
          <cell r="AJ363">
            <v>1</v>
          </cell>
          <cell r="AN363">
            <v>1</v>
          </cell>
          <cell r="AP363">
            <v>1</v>
          </cell>
          <cell r="AW363">
            <v>1</v>
          </cell>
          <cell r="AY363">
            <v>1</v>
          </cell>
          <cell r="BC363">
            <v>2</v>
          </cell>
          <cell r="BD363">
            <v>6</v>
          </cell>
          <cell r="BE363">
            <v>3</v>
          </cell>
          <cell r="BF363">
            <v>2</v>
          </cell>
          <cell r="BG363">
            <v>0</v>
          </cell>
          <cell r="BH363">
            <v>0</v>
          </cell>
          <cell r="BI363">
            <v>3</v>
          </cell>
        </row>
        <row r="364">
          <cell r="C364" t="str">
            <v>Nguyễn Thị Thanh Hà</v>
          </cell>
          <cell r="D364">
            <v>1349</v>
          </cell>
          <cell r="F364">
            <v>1</v>
          </cell>
          <cell r="G364">
            <v>1</v>
          </cell>
          <cell r="H364">
            <v>1</v>
          </cell>
          <cell r="L364">
            <v>1</v>
          </cell>
          <cell r="N364">
            <v>1</v>
          </cell>
          <cell r="P364">
            <v>1</v>
          </cell>
          <cell r="U364">
            <v>1</v>
          </cell>
          <cell r="W364">
            <v>1</v>
          </cell>
          <cell r="AB364">
            <v>1</v>
          </cell>
          <cell r="AC364">
            <v>1</v>
          </cell>
          <cell r="AG364">
            <v>1</v>
          </cell>
          <cell r="AI364">
            <v>1</v>
          </cell>
          <cell r="AJ364">
            <v>1</v>
          </cell>
          <cell r="AN364">
            <v>1</v>
          </cell>
          <cell r="AP364">
            <v>1</v>
          </cell>
          <cell r="AW364">
            <v>1</v>
          </cell>
          <cell r="AX364">
            <v>1</v>
          </cell>
          <cell r="BB364">
            <v>1</v>
          </cell>
          <cell r="BC364">
            <v>0</v>
          </cell>
          <cell r="BD364">
            <v>6</v>
          </cell>
          <cell r="BE364">
            <v>3</v>
          </cell>
          <cell r="BF364">
            <v>2</v>
          </cell>
          <cell r="BG364">
            <v>0</v>
          </cell>
          <cell r="BH364">
            <v>0</v>
          </cell>
          <cell r="BI364">
            <v>3</v>
          </cell>
        </row>
        <row r="365">
          <cell r="C365" t="str">
            <v>Đỗ Thị Bích Đào</v>
          </cell>
          <cell r="D365">
            <v>1350</v>
          </cell>
          <cell r="G365">
            <v>1</v>
          </cell>
          <cell r="I365">
            <v>1</v>
          </cell>
          <cell r="N365">
            <v>1</v>
          </cell>
          <cell r="O365">
            <v>1</v>
          </cell>
          <cell r="S365">
            <v>1</v>
          </cell>
          <cell r="U365">
            <v>1</v>
          </cell>
          <cell r="V365">
            <v>1</v>
          </cell>
          <cell r="Z365">
            <v>1</v>
          </cell>
          <cell r="AA365">
            <v>1</v>
          </cell>
          <cell r="AB365">
            <v>1</v>
          </cell>
          <cell r="AC365">
            <v>1</v>
          </cell>
          <cell r="AG365">
            <v>1</v>
          </cell>
          <cell r="AH365">
            <v>1</v>
          </cell>
          <cell r="AI365">
            <v>1</v>
          </cell>
          <cell r="AJ365">
            <v>1</v>
          </cell>
          <cell r="AN365">
            <v>1</v>
          </cell>
          <cell r="AP365">
            <v>1</v>
          </cell>
          <cell r="AW365">
            <v>1</v>
          </cell>
          <cell r="AY365">
            <v>1</v>
          </cell>
          <cell r="BC365">
            <v>2</v>
          </cell>
          <cell r="BD365">
            <v>6</v>
          </cell>
          <cell r="BE365">
            <v>4</v>
          </cell>
          <cell r="BF365">
            <v>1</v>
          </cell>
          <cell r="BG365">
            <v>0</v>
          </cell>
          <cell r="BH365">
            <v>0</v>
          </cell>
          <cell r="BI365">
            <v>4</v>
          </cell>
        </row>
        <row r="366">
          <cell r="C366" t="str">
            <v>Dương Thị Hồng Thắm</v>
          </cell>
          <cell r="D366">
            <v>1351</v>
          </cell>
          <cell r="G366">
            <v>1</v>
          </cell>
          <cell r="I366">
            <v>1</v>
          </cell>
          <cell r="M366">
            <v>1</v>
          </cell>
          <cell r="N366">
            <v>1</v>
          </cell>
          <cell r="O366">
            <v>1</v>
          </cell>
          <cell r="S366">
            <v>1</v>
          </cell>
          <cell r="T366">
            <v>1</v>
          </cell>
          <cell r="U366">
            <v>1</v>
          </cell>
          <cell r="V366">
            <v>1</v>
          </cell>
          <cell r="Z366">
            <v>1</v>
          </cell>
          <cell r="AB366">
            <v>1</v>
          </cell>
          <cell r="AC366">
            <v>1</v>
          </cell>
          <cell r="AG366">
            <v>1</v>
          </cell>
          <cell r="AI366">
            <v>1</v>
          </cell>
          <cell r="AJ366">
            <v>1</v>
          </cell>
          <cell r="AN366">
            <v>1</v>
          </cell>
          <cell r="AP366">
            <v>1</v>
          </cell>
          <cell r="AQ366">
            <v>1</v>
          </cell>
          <cell r="AU366">
            <v>1</v>
          </cell>
          <cell r="AW366">
            <v>1</v>
          </cell>
          <cell r="AY366">
            <v>1</v>
          </cell>
          <cell r="BC366">
            <v>2</v>
          </cell>
          <cell r="BD366">
            <v>6</v>
          </cell>
          <cell r="BE366">
            <v>5</v>
          </cell>
          <cell r="BF366">
            <v>1</v>
          </cell>
          <cell r="BG366">
            <v>0</v>
          </cell>
          <cell r="BH366">
            <v>0</v>
          </cell>
          <cell r="BI366">
            <v>5</v>
          </cell>
        </row>
        <row r="367">
          <cell r="C367" t="str">
            <v>Nguyễn Thị Phương Lý</v>
          </cell>
          <cell r="D367">
            <v>1352</v>
          </cell>
          <cell r="G367">
            <v>1</v>
          </cell>
          <cell r="I367">
            <v>1</v>
          </cell>
          <cell r="N367">
            <v>1</v>
          </cell>
          <cell r="P367">
            <v>1</v>
          </cell>
          <cell r="U367">
            <v>1</v>
          </cell>
          <cell r="W367">
            <v>1</v>
          </cell>
          <cell r="AB367">
            <v>1</v>
          </cell>
          <cell r="AD367">
            <v>1</v>
          </cell>
          <cell r="AI367">
            <v>1</v>
          </cell>
          <cell r="AJ367">
            <v>1</v>
          </cell>
          <cell r="AN367">
            <v>1</v>
          </cell>
          <cell r="AP367">
            <v>1</v>
          </cell>
          <cell r="AQ367">
            <v>1</v>
          </cell>
          <cell r="AU367">
            <v>1</v>
          </cell>
          <cell r="AW367">
            <v>1</v>
          </cell>
          <cell r="AY367">
            <v>1</v>
          </cell>
          <cell r="BC367">
            <v>0</v>
          </cell>
          <cell r="BD367">
            <v>6</v>
          </cell>
          <cell r="BE367">
            <v>2</v>
          </cell>
          <cell r="BF367">
            <v>4</v>
          </cell>
          <cell r="BG367">
            <v>0</v>
          </cell>
          <cell r="BH367">
            <v>0</v>
          </cell>
          <cell r="BI367">
            <v>2</v>
          </cell>
        </row>
        <row r="368">
          <cell r="C368" t="str">
            <v>Lý Kiều Hạnh</v>
          </cell>
          <cell r="D368">
            <v>1353</v>
          </cell>
          <cell r="G368">
            <v>1</v>
          </cell>
          <cell r="I368">
            <v>1</v>
          </cell>
          <cell r="N368">
            <v>1</v>
          </cell>
          <cell r="O368">
            <v>1</v>
          </cell>
          <cell r="S368">
            <v>1</v>
          </cell>
          <cell r="U368">
            <v>1</v>
          </cell>
          <cell r="W368">
            <v>1</v>
          </cell>
          <cell r="AB368">
            <v>1</v>
          </cell>
          <cell r="AD368">
            <v>1</v>
          </cell>
          <cell r="AI368">
            <v>1</v>
          </cell>
          <cell r="AJ368">
            <v>1</v>
          </cell>
          <cell r="AN368">
            <v>1</v>
          </cell>
          <cell r="AP368">
            <v>1</v>
          </cell>
          <cell r="AQ368">
            <v>1</v>
          </cell>
          <cell r="AU368">
            <v>1</v>
          </cell>
          <cell r="AV368">
            <v>1</v>
          </cell>
          <cell r="AW368">
            <v>1</v>
          </cell>
          <cell r="AY368">
            <v>1</v>
          </cell>
          <cell r="BB368">
            <v>1</v>
          </cell>
          <cell r="BC368">
            <v>1</v>
          </cell>
          <cell r="BD368">
            <v>6</v>
          </cell>
          <cell r="BE368">
            <v>3</v>
          </cell>
          <cell r="BF368">
            <v>3</v>
          </cell>
          <cell r="BG368">
            <v>0</v>
          </cell>
          <cell r="BH368">
            <v>0</v>
          </cell>
          <cell r="BI368">
            <v>4</v>
          </cell>
        </row>
        <row r="369">
          <cell r="C369" t="str">
            <v>Lê Thị Tuyết Nga</v>
          </cell>
          <cell r="D369">
            <v>1354</v>
          </cell>
          <cell r="G369">
            <v>1</v>
          </cell>
          <cell r="I369">
            <v>1</v>
          </cell>
          <cell r="N369">
            <v>1</v>
          </cell>
          <cell r="P369">
            <v>1</v>
          </cell>
          <cell r="X369">
            <v>1</v>
          </cell>
          <cell r="AB369">
            <v>1</v>
          </cell>
          <cell r="AC369">
            <v>1</v>
          </cell>
          <cell r="AG369">
            <v>1</v>
          </cell>
          <cell r="AI369">
            <v>1</v>
          </cell>
          <cell r="AJ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U369">
            <v>1</v>
          </cell>
          <cell r="AW369">
            <v>1</v>
          </cell>
          <cell r="AY369">
            <v>1</v>
          </cell>
          <cell r="BC369">
            <v>1</v>
          </cell>
          <cell r="BD369">
            <v>5</v>
          </cell>
          <cell r="BE369">
            <v>3</v>
          </cell>
          <cell r="BF369">
            <v>2</v>
          </cell>
          <cell r="BG369">
            <v>1</v>
          </cell>
          <cell r="BH369">
            <v>0</v>
          </cell>
          <cell r="BI369">
            <v>3</v>
          </cell>
        </row>
        <row r="370">
          <cell r="C370" t="str">
            <v>Phạm Minh Hồng</v>
          </cell>
          <cell r="D370">
            <v>1355</v>
          </cell>
          <cell r="G370">
            <v>1</v>
          </cell>
          <cell r="I370">
            <v>1</v>
          </cell>
          <cell r="N370">
            <v>1</v>
          </cell>
          <cell r="P370">
            <v>1</v>
          </cell>
          <cell r="U370">
            <v>1</v>
          </cell>
          <cell r="W370">
            <v>1</v>
          </cell>
          <cell r="AB370">
            <v>1</v>
          </cell>
          <cell r="AD370">
            <v>1</v>
          </cell>
          <cell r="AI370">
            <v>1</v>
          </cell>
          <cell r="AJ370">
            <v>1</v>
          </cell>
          <cell r="AN370">
            <v>1</v>
          </cell>
          <cell r="AP370">
            <v>1</v>
          </cell>
          <cell r="AW370">
            <v>1</v>
          </cell>
          <cell r="AY370">
            <v>1</v>
          </cell>
          <cell r="BC370">
            <v>0</v>
          </cell>
          <cell r="BD370">
            <v>6</v>
          </cell>
          <cell r="BE370">
            <v>1</v>
          </cell>
          <cell r="BF370">
            <v>4</v>
          </cell>
          <cell r="BG370">
            <v>0</v>
          </cell>
          <cell r="BH370">
            <v>0</v>
          </cell>
          <cell r="BI370">
            <v>1</v>
          </cell>
        </row>
        <row r="371">
          <cell r="C371" t="str">
            <v>Triệu Thị Trang</v>
          </cell>
          <cell r="D371">
            <v>1356</v>
          </cell>
          <cell r="AB371">
            <v>1</v>
          </cell>
          <cell r="AD371">
            <v>1</v>
          </cell>
          <cell r="AI371">
            <v>1</v>
          </cell>
          <cell r="AJ371">
            <v>1</v>
          </cell>
          <cell r="AN371">
            <v>1</v>
          </cell>
          <cell r="AP371">
            <v>1</v>
          </cell>
          <cell r="AV371">
            <v>1</v>
          </cell>
          <cell r="AW371">
            <v>1</v>
          </cell>
          <cell r="AY371">
            <v>1</v>
          </cell>
          <cell r="BB371">
            <v>1</v>
          </cell>
          <cell r="BC371">
            <v>1</v>
          </cell>
          <cell r="BD371">
            <v>4</v>
          </cell>
          <cell r="BE371">
            <v>1</v>
          </cell>
          <cell r="BF371">
            <v>2</v>
          </cell>
          <cell r="BG371">
            <v>0</v>
          </cell>
          <cell r="BH371">
            <v>0</v>
          </cell>
          <cell r="BI371">
            <v>2</v>
          </cell>
        </row>
        <row r="372">
          <cell r="C372" t="str">
            <v>Nguyễn Thị Thúy Chinh</v>
          </cell>
          <cell r="D372">
            <v>1357</v>
          </cell>
          <cell r="AI372">
            <v>1</v>
          </cell>
          <cell r="AK372">
            <v>1</v>
          </cell>
          <cell r="AP372">
            <v>1</v>
          </cell>
          <cell r="AW372">
            <v>1</v>
          </cell>
          <cell r="AY372">
            <v>1</v>
          </cell>
          <cell r="BC372">
            <v>0</v>
          </cell>
          <cell r="BD372">
            <v>3</v>
          </cell>
          <cell r="BE372">
            <v>0</v>
          </cell>
          <cell r="BF372">
            <v>2</v>
          </cell>
          <cell r="BG372">
            <v>0</v>
          </cell>
          <cell r="BH372">
            <v>0</v>
          </cell>
          <cell r="BI372">
            <v>0</v>
          </cell>
        </row>
        <row r="373">
          <cell r="C373" t="str">
            <v>Phạm Thị Tuấn</v>
          </cell>
          <cell r="D373">
            <v>1358</v>
          </cell>
          <cell r="AI373">
            <v>1</v>
          </cell>
          <cell r="AK373">
            <v>1</v>
          </cell>
          <cell r="AP373">
            <v>1</v>
          </cell>
          <cell r="AW373">
            <v>1</v>
          </cell>
          <cell r="AY373">
            <v>1</v>
          </cell>
          <cell r="BC373">
            <v>0</v>
          </cell>
          <cell r="BD373">
            <v>3</v>
          </cell>
          <cell r="BE373">
            <v>0</v>
          </cell>
          <cell r="BF373">
            <v>2</v>
          </cell>
          <cell r="BG373">
            <v>0</v>
          </cell>
          <cell r="BH373">
            <v>0</v>
          </cell>
          <cell r="BI373">
            <v>0</v>
          </cell>
        </row>
        <row r="374">
          <cell r="C374" t="str">
            <v>Phí Minh Tuấn</v>
          </cell>
          <cell r="D374">
            <v>1359</v>
          </cell>
          <cell r="AI374">
            <v>1</v>
          </cell>
          <cell r="AK374">
            <v>1</v>
          </cell>
          <cell r="AP374">
            <v>1</v>
          </cell>
          <cell r="AW374">
            <v>1</v>
          </cell>
          <cell r="AY374">
            <v>1</v>
          </cell>
          <cell r="BC374">
            <v>0</v>
          </cell>
          <cell r="BD374">
            <v>3</v>
          </cell>
          <cell r="BE374">
            <v>0</v>
          </cell>
          <cell r="BF374">
            <v>2</v>
          </cell>
          <cell r="BG374">
            <v>0</v>
          </cell>
          <cell r="BH374">
            <v>0</v>
          </cell>
          <cell r="BI374">
            <v>0</v>
          </cell>
        </row>
        <row r="375">
          <cell r="C375" t="str">
            <v>Đỗ Hải Yến</v>
          </cell>
          <cell r="D375">
            <v>1763</v>
          </cell>
          <cell r="AW375">
            <v>1</v>
          </cell>
          <cell r="AY375">
            <v>1</v>
          </cell>
          <cell r="BC375">
            <v>0</v>
          </cell>
          <cell r="BD375">
            <v>1</v>
          </cell>
          <cell r="BE375">
            <v>0</v>
          </cell>
          <cell r="BF375">
            <v>1</v>
          </cell>
          <cell r="BG375">
            <v>0</v>
          </cell>
          <cell r="BH375">
            <v>0</v>
          </cell>
          <cell r="BI375">
            <v>0</v>
          </cell>
        </row>
        <row r="376">
          <cell r="C376" t="str">
            <v>Phạm Thị Xuân Hà</v>
          </cell>
          <cell r="D376">
            <v>1360</v>
          </cell>
          <cell r="E376" t="str">
            <v>PCNV Trưởng bộ môn, 
CUV, BTCĐ</v>
          </cell>
          <cell r="G376">
            <v>1</v>
          </cell>
          <cell r="H376">
            <v>1</v>
          </cell>
          <cell r="L376">
            <v>1</v>
          </cell>
          <cell r="M376">
            <v>1</v>
          </cell>
          <cell r="N376">
            <v>1</v>
          </cell>
          <cell r="O376">
            <v>1</v>
          </cell>
          <cell r="S376">
            <v>1</v>
          </cell>
          <cell r="U376">
            <v>1</v>
          </cell>
          <cell r="V376">
            <v>1</v>
          </cell>
          <cell r="Z376">
            <v>1</v>
          </cell>
          <cell r="AB376">
            <v>1</v>
          </cell>
          <cell r="AC376">
            <v>1</v>
          </cell>
          <cell r="AG376">
            <v>1</v>
          </cell>
          <cell r="AI376">
            <v>1</v>
          </cell>
          <cell r="AK376">
            <v>1</v>
          </cell>
          <cell r="AW376">
            <v>1</v>
          </cell>
          <cell r="AY376">
            <v>1</v>
          </cell>
          <cell r="BC376">
            <v>1</v>
          </cell>
          <cell r="BD376">
            <v>5</v>
          </cell>
          <cell r="BE376">
            <v>3</v>
          </cell>
          <cell r="BF376">
            <v>2</v>
          </cell>
          <cell r="BG376">
            <v>0</v>
          </cell>
          <cell r="BH376">
            <v>0</v>
          </cell>
          <cell r="BI376">
            <v>3</v>
          </cell>
        </row>
        <row r="377">
          <cell r="C377" t="str">
            <v>Trần Thị Bích Lan</v>
          </cell>
          <cell r="D377">
            <v>1361</v>
          </cell>
          <cell r="E377" t="str">
            <v>PCNV Phó Trưởng bộ môn</v>
          </cell>
          <cell r="G377">
            <v>1</v>
          </cell>
          <cell r="H377">
            <v>1</v>
          </cell>
          <cell r="L377">
            <v>1</v>
          </cell>
          <cell r="N377">
            <v>1</v>
          </cell>
          <cell r="P377">
            <v>1</v>
          </cell>
          <cell r="U377">
            <v>1</v>
          </cell>
          <cell r="V377">
            <v>1</v>
          </cell>
          <cell r="Z377">
            <v>1</v>
          </cell>
          <cell r="AA377">
            <v>1</v>
          </cell>
          <cell r="AB377">
            <v>1</v>
          </cell>
          <cell r="AC377">
            <v>1</v>
          </cell>
          <cell r="AG377">
            <v>1</v>
          </cell>
          <cell r="AH377">
            <v>1</v>
          </cell>
          <cell r="AI377">
            <v>1</v>
          </cell>
          <cell r="AJ377">
            <v>1</v>
          </cell>
          <cell r="AN377">
            <v>1</v>
          </cell>
          <cell r="AO377">
            <v>1</v>
          </cell>
          <cell r="AP377">
            <v>1</v>
          </cell>
          <cell r="AQ377">
            <v>1</v>
          </cell>
          <cell r="AU377">
            <v>1</v>
          </cell>
          <cell r="AV377">
            <v>1</v>
          </cell>
          <cell r="AW377">
            <v>1</v>
          </cell>
          <cell r="AX377">
            <v>1</v>
          </cell>
          <cell r="BC377">
            <v>4</v>
          </cell>
          <cell r="BD377">
            <v>6</v>
          </cell>
          <cell r="BE377">
            <v>5</v>
          </cell>
          <cell r="BF377">
            <v>1</v>
          </cell>
          <cell r="BG377">
            <v>0</v>
          </cell>
          <cell r="BH377">
            <v>0</v>
          </cell>
          <cell r="BI377">
            <v>4</v>
          </cell>
        </row>
        <row r="378">
          <cell r="C378" t="str">
            <v>Hoàng Thị Thuý</v>
          </cell>
          <cell r="D378">
            <v>1362</v>
          </cell>
          <cell r="G378">
            <v>1</v>
          </cell>
          <cell r="I378">
            <v>1</v>
          </cell>
          <cell r="N378">
            <v>1</v>
          </cell>
          <cell r="O378">
            <v>1</v>
          </cell>
          <cell r="S378">
            <v>1</v>
          </cell>
          <cell r="T378">
            <v>1</v>
          </cell>
          <cell r="U378">
            <v>1</v>
          </cell>
          <cell r="V378">
            <v>1</v>
          </cell>
          <cell r="Z378">
            <v>1</v>
          </cell>
          <cell r="AA378">
            <v>1</v>
          </cell>
          <cell r="AB378">
            <v>1</v>
          </cell>
          <cell r="AC378">
            <v>1</v>
          </cell>
          <cell r="AG378">
            <v>1</v>
          </cell>
          <cell r="AI378">
            <v>1</v>
          </cell>
          <cell r="AJ378">
            <v>1</v>
          </cell>
          <cell r="AN378">
            <v>1</v>
          </cell>
          <cell r="AP378">
            <v>1</v>
          </cell>
          <cell r="AW378">
            <v>1</v>
          </cell>
          <cell r="AY378">
            <v>1</v>
          </cell>
          <cell r="BC378">
            <v>2</v>
          </cell>
          <cell r="BD378">
            <v>6</v>
          </cell>
          <cell r="BE378">
            <v>4</v>
          </cell>
          <cell r="BF378">
            <v>1</v>
          </cell>
          <cell r="BG378">
            <v>0</v>
          </cell>
          <cell r="BH378">
            <v>0</v>
          </cell>
          <cell r="BI378">
            <v>4</v>
          </cell>
        </row>
        <row r="379">
          <cell r="C379" t="str">
            <v>Trần Trung Dũng</v>
          </cell>
          <cell r="D379">
            <v>1363</v>
          </cell>
          <cell r="G379">
            <v>1</v>
          </cell>
          <cell r="I379">
            <v>1</v>
          </cell>
          <cell r="N379">
            <v>1</v>
          </cell>
          <cell r="P379">
            <v>1</v>
          </cell>
          <cell r="U379">
            <v>1</v>
          </cell>
          <cell r="W379">
            <v>1</v>
          </cell>
          <cell r="AB379">
            <v>1</v>
          </cell>
          <cell r="AC379">
            <v>1</v>
          </cell>
          <cell r="AG379">
            <v>1</v>
          </cell>
          <cell r="AH379">
            <v>1</v>
          </cell>
          <cell r="AI379">
            <v>1</v>
          </cell>
          <cell r="AJ379">
            <v>1</v>
          </cell>
          <cell r="AN379">
            <v>1</v>
          </cell>
          <cell r="AT379">
            <v>1</v>
          </cell>
          <cell r="AV379">
            <v>1</v>
          </cell>
          <cell r="AW379">
            <v>1</v>
          </cell>
          <cell r="AY379">
            <v>1</v>
          </cell>
          <cell r="BB379">
            <v>1</v>
          </cell>
          <cell r="BC379">
            <v>2</v>
          </cell>
          <cell r="BD379">
            <v>5</v>
          </cell>
          <cell r="BE379">
            <v>2</v>
          </cell>
          <cell r="BF379">
            <v>3</v>
          </cell>
          <cell r="BG379">
            <v>0</v>
          </cell>
          <cell r="BH379">
            <v>1</v>
          </cell>
          <cell r="BI379">
            <v>3</v>
          </cell>
        </row>
        <row r="380">
          <cell r="C380" t="str">
            <v>Trần Anh Thư</v>
          </cell>
          <cell r="D380">
            <v>1364</v>
          </cell>
          <cell r="G380">
            <v>1</v>
          </cell>
          <cell r="I380">
            <v>1</v>
          </cell>
          <cell r="N380">
            <v>1</v>
          </cell>
          <cell r="P380">
            <v>1</v>
          </cell>
          <cell r="U380">
            <v>1</v>
          </cell>
          <cell r="W380">
            <v>1</v>
          </cell>
          <cell r="AB380">
            <v>1</v>
          </cell>
          <cell r="AD380">
            <v>1</v>
          </cell>
          <cell r="AI380">
            <v>1</v>
          </cell>
          <cell r="AJ380">
            <v>1</v>
          </cell>
          <cell r="AN380">
            <v>1</v>
          </cell>
          <cell r="AP380">
            <v>1</v>
          </cell>
          <cell r="AQ380">
            <v>1</v>
          </cell>
          <cell r="AU380">
            <v>1</v>
          </cell>
          <cell r="AW380">
            <v>1</v>
          </cell>
          <cell r="AY380">
            <v>1</v>
          </cell>
          <cell r="BC380">
            <v>0</v>
          </cell>
          <cell r="BD380">
            <v>6</v>
          </cell>
          <cell r="BE380">
            <v>2</v>
          </cell>
          <cell r="BF380">
            <v>4</v>
          </cell>
          <cell r="BG380">
            <v>0</v>
          </cell>
          <cell r="BH380">
            <v>0</v>
          </cell>
          <cell r="BI380">
            <v>2</v>
          </cell>
        </row>
        <row r="381">
          <cell r="C381" t="str">
            <v>Phạm Thị Phượng</v>
          </cell>
          <cell r="D381">
            <v>1365</v>
          </cell>
          <cell r="G381">
            <v>1</v>
          </cell>
          <cell r="H381">
            <v>1</v>
          </cell>
          <cell r="I381">
            <v>1</v>
          </cell>
          <cell r="L381">
            <v>1</v>
          </cell>
          <cell r="N381">
            <v>1</v>
          </cell>
          <cell r="O381">
            <v>1</v>
          </cell>
          <cell r="S381">
            <v>1</v>
          </cell>
          <cell r="U381">
            <v>1</v>
          </cell>
          <cell r="V381">
            <v>1</v>
          </cell>
          <cell r="Z381">
            <v>1</v>
          </cell>
          <cell r="AB381">
            <v>1</v>
          </cell>
          <cell r="AC381">
            <v>1</v>
          </cell>
          <cell r="AG381">
            <v>1</v>
          </cell>
          <cell r="AI381">
            <v>1</v>
          </cell>
          <cell r="AJ381">
            <v>1</v>
          </cell>
          <cell r="AN381">
            <v>1</v>
          </cell>
          <cell r="AP381">
            <v>1</v>
          </cell>
          <cell r="AQ381">
            <v>1</v>
          </cell>
          <cell r="AU381">
            <v>1</v>
          </cell>
          <cell r="AW381">
            <v>1</v>
          </cell>
          <cell r="AY381">
            <v>1</v>
          </cell>
          <cell r="BC381">
            <v>0</v>
          </cell>
          <cell r="BD381">
            <v>6</v>
          </cell>
          <cell r="BE381">
            <v>5</v>
          </cell>
          <cell r="BF381">
            <v>1</v>
          </cell>
          <cell r="BG381">
            <v>0</v>
          </cell>
          <cell r="BH381">
            <v>0</v>
          </cell>
          <cell r="BI381">
            <v>5</v>
          </cell>
        </row>
        <row r="382">
          <cell r="C382" t="str">
            <v>Phạm Thị Tố Loan</v>
          </cell>
          <cell r="D382">
            <v>1366</v>
          </cell>
          <cell r="G382">
            <v>1</v>
          </cell>
          <cell r="I382">
            <v>1</v>
          </cell>
          <cell r="N382">
            <v>1</v>
          </cell>
          <cell r="P382">
            <v>1</v>
          </cell>
          <cell r="U382">
            <v>1</v>
          </cell>
          <cell r="W382">
            <v>1</v>
          </cell>
          <cell r="AB382">
            <v>1</v>
          </cell>
          <cell r="AC382">
            <v>1</v>
          </cell>
          <cell r="AG382">
            <v>1</v>
          </cell>
          <cell r="AI382">
            <v>1</v>
          </cell>
          <cell r="AJ382">
            <v>1</v>
          </cell>
          <cell r="AN382">
            <v>1</v>
          </cell>
          <cell r="AO382">
            <v>1</v>
          </cell>
          <cell r="AP382">
            <v>1</v>
          </cell>
          <cell r="AQ382">
            <v>1</v>
          </cell>
          <cell r="AU382">
            <v>1</v>
          </cell>
          <cell r="AV382">
            <v>1</v>
          </cell>
          <cell r="AW382">
            <v>1</v>
          </cell>
          <cell r="AX382">
            <v>1</v>
          </cell>
          <cell r="BB382">
            <v>1</v>
          </cell>
          <cell r="BC382">
            <v>2</v>
          </cell>
          <cell r="BD382">
            <v>6</v>
          </cell>
          <cell r="BE382">
            <v>4</v>
          </cell>
          <cell r="BF382">
            <v>2</v>
          </cell>
          <cell r="BG382">
            <v>0</v>
          </cell>
          <cell r="BH382">
            <v>0</v>
          </cell>
          <cell r="BI382">
            <v>4</v>
          </cell>
        </row>
        <row r="383">
          <cell r="C383" t="str">
            <v>Lương Thị Minh Phương</v>
          </cell>
          <cell r="D383">
            <v>1367</v>
          </cell>
          <cell r="G383">
            <v>1</v>
          </cell>
          <cell r="H383">
            <v>1</v>
          </cell>
          <cell r="L383">
            <v>1</v>
          </cell>
          <cell r="N383">
            <v>1</v>
          </cell>
          <cell r="O383">
            <v>1</v>
          </cell>
          <cell r="S383">
            <v>1</v>
          </cell>
          <cell r="T383">
            <v>1</v>
          </cell>
          <cell r="U383">
            <v>1</v>
          </cell>
          <cell r="V383">
            <v>1</v>
          </cell>
          <cell r="Z383">
            <v>1</v>
          </cell>
          <cell r="AB383">
            <v>1</v>
          </cell>
          <cell r="AD383">
            <v>1</v>
          </cell>
          <cell r="AI383">
            <v>1</v>
          </cell>
          <cell r="AJ383">
            <v>1</v>
          </cell>
          <cell r="AN383">
            <v>1</v>
          </cell>
          <cell r="AP383">
            <v>1</v>
          </cell>
          <cell r="AQ383">
            <v>1</v>
          </cell>
          <cell r="AU383">
            <v>1</v>
          </cell>
          <cell r="AW383">
            <v>1</v>
          </cell>
          <cell r="AX383">
            <v>1</v>
          </cell>
          <cell r="BB383">
            <v>1</v>
          </cell>
          <cell r="BC383">
            <v>1</v>
          </cell>
          <cell r="BD383">
            <v>6</v>
          </cell>
          <cell r="BE383">
            <v>5</v>
          </cell>
          <cell r="BF383">
            <v>1</v>
          </cell>
          <cell r="BG383">
            <v>0</v>
          </cell>
          <cell r="BH383">
            <v>0</v>
          </cell>
          <cell r="BI383">
            <v>5</v>
          </cell>
        </row>
        <row r="384">
          <cell r="C384" t="str">
            <v>Hà Thị Vũ Hà</v>
          </cell>
          <cell r="D384">
            <v>1368</v>
          </cell>
          <cell r="G384">
            <v>1</v>
          </cell>
          <cell r="I384">
            <v>1</v>
          </cell>
          <cell r="N384">
            <v>1</v>
          </cell>
          <cell r="P384">
            <v>1</v>
          </cell>
          <cell r="U384">
            <v>1</v>
          </cell>
          <cell r="W384">
            <v>1</v>
          </cell>
          <cell r="AB384">
            <v>1</v>
          </cell>
          <cell r="AC384">
            <v>1</v>
          </cell>
          <cell r="AG384">
            <v>1</v>
          </cell>
          <cell r="AI384">
            <v>1</v>
          </cell>
          <cell r="AJ384">
            <v>1</v>
          </cell>
          <cell r="AN384">
            <v>1</v>
          </cell>
          <cell r="AP384">
            <v>1</v>
          </cell>
          <cell r="AQ384">
            <v>1</v>
          </cell>
          <cell r="AU384">
            <v>1</v>
          </cell>
          <cell r="AW384">
            <v>1</v>
          </cell>
          <cell r="AY384">
            <v>1</v>
          </cell>
          <cell r="BC384">
            <v>0</v>
          </cell>
          <cell r="BD384">
            <v>6</v>
          </cell>
          <cell r="BE384">
            <v>3</v>
          </cell>
          <cell r="BF384">
            <v>3</v>
          </cell>
          <cell r="BG384">
            <v>0</v>
          </cell>
          <cell r="BH384">
            <v>0</v>
          </cell>
          <cell r="BI384">
            <v>3</v>
          </cell>
        </row>
        <row r="385">
          <cell r="C385" t="str">
            <v>Nguyễn Thị Bích Ngọc</v>
          </cell>
          <cell r="D385">
            <v>1369</v>
          </cell>
          <cell r="G385">
            <v>1</v>
          </cell>
          <cell r="I385">
            <v>1</v>
          </cell>
          <cell r="N385">
            <v>1</v>
          </cell>
          <cell r="P385">
            <v>1</v>
          </cell>
          <cell r="U385">
            <v>1</v>
          </cell>
          <cell r="W385">
            <v>1</v>
          </cell>
          <cell r="AB385">
            <v>1</v>
          </cell>
          <cell r="AC385">
            <v>1</v>
          </cell>
          <cell r="AG385">
            <v>1</v>
          </cell>
          <cell r="AH385">
            <v>1</v>
          </cell>
          <cell r="AI385">
            <v>1</v>
          </cell>
          <cell r="AJ385">
            <v>1</v>
          </cell>
          <cell r="AN385">
            <v>1</v>
          </cell>
          <cell r="AO385">
            <v>1</v>
          </cell>
          <cell r="AP385">
            <v>1</v>
          </cell>
          <cell r="AQ385">
            <v>1</v>
          </cell>
          <cell r="AU385">
            <v>1</v>
          </cell>
          <cell r="AW385">
            <v>1</v>
          </cell>
          <cell r="AY385">
            <v>1</v>
          </cell>
          <cell r="BC385">
            <v>2</v>
          </cell>
          <cell r="BD385">
            <v>6</v>
          </cell>
          <cell r="BE385">
            <v>3</v>
          </cell>
          <cell r="BF385">
            <v>3</v>
          </cell>
          <cell r="BG385">
            <v>0</v>
          </cell>
          <cell r="BH385">
            <v>0</v>
          </cell>
          <cell r="BI385">
            <v>3</v>
          </cell>
        </row>
        <row r="386">
          <cell r="C386" t="str">
            <v>Trần Lan Hương</v>
          </cell>
          <cell r="D386">
            <v>1370</v>
          </cell>
          <cell r="F386">
            <v>1</v>
          </cell>
          <cell r="G386">
            <v>1</v>
          </cell>
          <cell r="H386">
            <v>1</v>
          </cell>
          <cell r="L386">
            <v>1</v>
          </cell>
          <cell r="N386">
            <v>1</v>
          </cell>
          <cell r="P386">
            <v>1</v>
          </cell>
          <cell r="U386">
            <v>1</v>
          </cell>
          <cell r="W386">
            <v>1</v>
          </cell>
          <cell r="AB386">
            <v>1</v>
          </cell>
          <cell r="AD386">
            <v>1</v>
          </cell>
          <cell r="AI386">
            <v>1</v>
          </cell>
          <cell r="AJ386">
            <v>1</v>
          </cell>
          <cell r="AN386">
            <v>1</v>
          </cell>
          <cell r="AP386">
            <v>1</v>
          </cell>
          <cell r="AW386">
            <v>1</v>
          </cell>
          <cell r="AY386">
            <v>1</v>
          </cell>
          <cell r="BC386">
            <v>0</v>
          </cell>
          <cell r="BD386">
            <v>6</v>
          </cell>
          <cell r="BE386">
            <v>1</v>
          </cell>
          <cell r="BF386">
            <v>4</v>
          </cell>
          <cell r="BG386">
            <v>0</v>
          </cell>
          <cell r="BH386">
            <v>0</v>
          </cell>
          <cell r="BI386">
            <v>1</v>
          </cell>
        </row>
        <row r="387">
          <cell r="C387" t="str">
            <v>Hán Thị Bích Ngọc</v>
          </cell>
          <cell r="D387">
            <v>1371</v>
          </cell>
          <cell r="G387">
            <v>1</v>
          </cell>
          <cell r="I387">
            <v>1</v>
          </cell>
          <cell r="N387">
            <v>1</v>
          </cell>
          <cell r="O387">
            <v>1</v>
          </cell>
          <cell r="S387">
            <v>1</v>
          </cell>
          <cell r="U387">
            <v>1</v>
          </cell>
          <cell r="W387">
            <v>1</v>
          </cell>
          <cell r="AB387">
            <v>1</v>
          </cell>
          <cell r="AC387">
            <v>1</v>
          </cell>
          <cell r="AG387">
            <v>1</v>
          </cell>
          <cell r="AI387">
            <v>1</v>
          </cell>
          <cell r="AJ387">
            <v>1</v>
          </cell>
          <cell r="AN387">
            <v>1</v>
          </cell>
          <cell r="AP387">
            <v>1</v>
          </cell>
          <cell r="AQ387">
            <v>1</v>
          </cell>
          <cell r="AU387">
            <v>1</v>
          </cell>
          <cell r="AV387">
            <v>1</v>
          </cell>
          <cell r="AW387">
            <v>1</v>
          </cell>
          <cell r="AX387">
            <v>1</v>
          </cell>
          <cell r="BB387">
            <v>1</v>
          </cell>
          <cell r="BC387">
            <v>1</v>
          </cell>
          <cell r="BD387">
            <v>6</v>
          </cell>
          <cell r="BE387">
            <v>5</v>
          </cell>
          <cell r="BF387">
            <v>1</v>
          </cell>
          <cell r="BG387">
            <v>0</v>
          </cell>
          <cell r="BH387">
            <v>0</v>
          </cell>
          <cell r="BI387">
            <v>5</v>
          </cell>
        </row>
        <row r="388">
          <cell r="C388" t="str">
            <v>Hoàng Thị Anh Thơ</v>
          </cell>
          <cell r="D388">
            <v>1372</v>
          </cell>
          <cell r="G388">
            <v>1</v>
          </cell>
          <cell r="I388">
            <v>1</v>
          </cell>
          <cell r="N388">
            <v>1</v>
          </cell>
          <cell r="P388">
            <v>1</v>
          </cell>
          <cell r="U388">
            <v>1</v>
          </cell>
          <cell r="W388">
            <v>1</v>
          </cell>
          <cell r="AA388">
            <v>1</v>
          </cell>
          <cell r="AB388">
            <v>1</v>
          </cell>
          <cell r="AC388">
            <v>1</v>
          </cell>
          <cell r="AG388">
            <v>1</v>
          </cell>
          <cell r="AH388">
            <v>1</v>
          </cell>
          <cell r="AI388">
            <v>1</v>
          </cell>
          <cell r="AJ388">
            <v>1</v>
          </cell>
          <cell r="AN388">
            <v>1</v>
          </cell>
          <cell r="AP388">
            <v>1</v>
          </cell>
          <cell r="AQ388">
            <v>1</v>
          </cell>
          <cell r="AU388">
            <v>1</v>
          </cell>
          <cell r="AV388">
            <v>1</v>
          </cell>
          <cell r="AW388">
            <v>1</v>
          </cell>
          <cell r="AY388">
            <v>1</v>
          </cell>
          <cell r="BB388">
            <v>1</v>
          </cell>
          <cell r="BC388">
            <v>3</v>
          </cell>
          <cell r="BD388">
            <v>6</v>
          </cell>
          <cell r="BE388">
            <v>3</v>
          </cell>
          <cell r="BF388">
            <v>3</v>
          </cell>
          <cell r="BG388">
            <v>0</v>
          </cell>
          <cell r="BH388">
            <v>0</v>
          </cell>
          <cell r="BI388">
            <v>4</v>
          </cell>
        </row>
        <row r="389">
          <cell r="C389" t="str">
            <v>Mai Tuyết Nhung</v>
          </cell>
          <cell r="D389">
            <v>1373</v>
          </cell>
          <cell r="G389">
            <v>1</v>
          </cell>
          <cell r="I389">
            <v>1</v>
          </cell>
          <cell r="N389">
            <v>1</v>
          </cell>
          <cell r="P389">
            <v>1</v>
          </cell>
          <cell r="U389">
            <v>1</v>
          </cell>
          <cell r="W389">
            <v>1</v>
          </cell>
          <cell r="AB389">
            <v>1</v>
          </cell>
          <cell r="AC389">
            <v>1</v>
          </cell>
          <cell r="AG389">
            <v>1</v>
          </cell>
          <cell r="AI389">
            <v>1</v>
          </cell>
          <cell r="AJ389">
            <v>1</v>
          </cell>
          <cell r="AN389">
            <v>1</v>
          </cell>
          <cell r="AP389">
            <v>1</v>
          </cell>
          <cell r="AW389">
            <v>1</v>
          </cell>
          <cell r="AY389">
            <v>1</v>
          </cell>
          <cell r="BC389">
            <v>0</v>
          </cell>
          <cell r="BD389">
            <v>6</v>
          </cell>
          <cell r="BE389">
            <v>2</v>
          </cell>
          <cell r="BF389">
            <v>3</v>
          </cell>
          <cell r="BG389">
            <v>0</v>
          </cell>
          <cell r="BH389">
            <v>0</v>
          </cell>
          <cell r="BI389">
            <v>2</v>
          </cell>
        </row>
        <row r="390">
          <cell r="C390" t="str">
            <v>Nguyễn Thị Hằng</v>
          </cell>
          <cell r="D390">
            <v>1374</v>
          </cell>
          <cell r="AB390">
            <v>1</v>
          </cell>
          <cell r="AD390">
            <v>1</v>
          </cell>
          <cell r="AI390">
            <v>1</v>
          </cell>
          <cell r="AJ390">
            <v>1</v>
          </cell>
          <cell r="AN390">
            <v>1</v>
          </cell>
          <cell r="AP390">
            <v>1</v>
          </cell>
          <cell r="AQ390">
            <v>1</v>
          </cell>
          <cell r="AU390">
            <v>1</v>
          </cell>
          <cell r="AW390">
            <v>1</v>
          </cell>
          <cell r="AY390">
            <v>1</v>
          </cell>
          <cell r="BC390">
            <v>0</v>
          </cell>
          <cell r="BD390">
            <v>4</v>
          </cell>
          <cell r="BE390">
            <v>2</v>
          </cell>
          <cell r="BF390">
            <v>2</v>
          </cell>
          <cell r="BG390">
            <v>0</v>
          </cell>
          <cell r="BH390">
            <v>0</v>
          </cell>
          <cell r="BI390">
            <v>2</v>
          </cell>
        </row>
        <row r="391">
          <cell r="C391" t="str">
            <v>Nguyễn Thị Thu Hằng</v>
          </cell>
          <cell r="D391">
            <v>1375</v>
          </cell>
          <cell r="AB391">
            <v>1</v>
          </cell>
          <cell r="AD391">
            <v>1</v>
          </cell>
          <cell r="AI391">
            <v>1</v>
          </cell>
          <cell r="AJ391">
            <v>1</v>
          </cell>
          <cell r="AN391">
            <v>1</v>
          </cell>
          <cell r="AP391">
            <v>1</v>
          </cell>
          <cell r="AW391">
            <v>1</v>
          </cell>
          <cell r="AY391">
            <v>1</v>
          </cell>
          <cell r="BC391">
            <v>0</v>
          </cell>
          <cell r="BD391">
            <v>4</v>
          </cell>
          <cell r="BE391">
            <v>1</v>
          </cell>
          <cell r="BF391">
            <v>2</v>
          </cell>
          <cell r="BG391">
            <v>0</v>
          </cell>
          <cell r="BH391">
            <v>0</v>
          </cell>
          <cell r="BI391">
            <v>1</v>
          </cell>
        </row>
        <row r="392">
          <cell r="C392" t="str">
            <v>Bùi Thị Thanh Lan</v>
          </cell>
          <cell r="D392">
            <v>1376</v>
          </cell>
          <cell r="AB392">
            <v>1</v>
          </cell>
          <cell r="AD392">
            <v>1</v>
          </cell>
          <cell r="AI392">
            <v>1</v>
          </cell>
          <cell r="AJ392">
            <v>1</v>
          </cell>
          <cell r="AN392">
            <v>1</v>
          </cell>
          <cell r="AW392">
            <v>1</v>
          </cell>
          <cell r="AY392">
            <v>1</v>
          </cell>
          <cell r="BC392">
            <v>0</v>
          </cell>
          <cell r="BD392">
            <v>3</v>
          </cell>
          <cell r="BE392">
            <v>1</v>
          </cell>
          <cell r="BF392">
            <v>2</v>
          </cell>
          <cell r="BG392">
            <v>0</v>
          </cell>
          <cell r="BH392">
            <v>0</v>
          </cell>
          <cell r="BI392">
            <v>1</v>
          </cell>
        </row>
        <row r="393">
          <cell r="C393" t="str">
            <v>Trần Thị Mỹ Linh</v>
          </cell>
          <cell r="D393">
            <v>1377</v>
          </cell>
          <cell r="AB393">
            <v>1</v>
          </cell>
          <cell r="AD393">
            <v>1</v>
          </cell>
          <cell r="AI393">
            <v>1</v>
          </cell>
          <cell r="AJ393">
            <v>1</v>
          </cell>
          <cell r="AN393">
            <v>1</v>
          </cell>
          <cell r="AP393">
            <v>1</v>
          </cell>
          <cell r="AW393">
            <v>1</v>
          </cell>
          <cell r="AY393">
            <v>1</v>
          </cell>
          <cell r="BC393">
            <v>0</v>
          </cell>
          <cell r="BD393">
            <v>4</v>
          </cell>
          <cell r="BE393">
            <v>1</v>
          </cell>
          <cell r="BF393">
            <v>2</v>
          </cell>
          <cell r="BG393">
            <v>0</v>
          </cell>
          <cell r="BH393">
            <v>0</v>
          </cell>
          <cell r="BI393">
            <v>1</v>
          </cell>
        </row>
        <row r="394">
          <cell r="C394" t="str">
            <v>Phạm Quang Trúc</v>
          </cell>
          <cell r="D394">
            <v>1378</v>
          </cell>
          <cell r="AB394">
            <v>1</v>
          </cell>
          <cell r="AD394">
            <v>1</v>
          </cell>
          <cell r="AI394">
            <v>1</v>
          </cell>
          <cell r="AJ394">
            <v>1</v>
          </cell>
          <cell r="AN394">
            <v>1</v>
          </cell>
          <cell r="AP394">
            <v>1</v>
          </cell>
          <cell r="AW394">
            <v>1</v>
          </cell>
          <cell r="AY394">
            <v>1</v>
          </cell>
          <cell r="BC394">
            <v>0</v>
          </cell>
          <cell r="BD394">
            <v>4</v>
          </cell>
          <cell r="BE394">
            <v>1</v>
          </cell>
          <cell r="BF394">
            <v>2</v>
          </cell>
          <cell r="BG394">
            <v>0</v>
          </cell>
          <cell r="BH394">
            <v>0</v>
          </cell>
          <cell r="BI394">
            <v>1</v>
          </cell>
        </row>
        <row r="395">
          <cell r="C395" t="str">
            <v>Vũ Thị Hoài</v>
          </cell>
          <cell r="D395">
            <v>1379</v>
          </cell>
          <cell r="AI395">
            <v>1</v>
          </cell>
          <cell r="AK395">
            <v>1</v>
          </cell>
          <cell r="AP395">
            <v>1</v>
          </cell>
          <cell r="AW395">
            <v>1</v>
          </cell>
          <cell r="AY395">
            <v>1</v>
          </cell>
          <cell r="BC395">
            <v>0</v>
          </cell>
          <cell r="BD395">
            <v>3</v>
          </cell>
          <cell r="BE395">
            <v>0</v>
          </cell>
          <cell r="BF395">
            <v>2</v>
          </cell>
          <cell r="BG395">
            <v>0</v>
          </cell>
          <cell r="BH395">
            <v>0</v>
          </cell>
          <cell r="BI395">
            <v>0</v>
          </cell>
        </row>
        <row r="396">
          <cell r="C396" t="str">
            <v>Đào Phương Linh</v>
          </cell>
          <cell r="D396">
            <v>1380</v>
          </cell>
          <cell r="AI396">
            <v>1</v>
          </cell>
          <cell r="AK396">
            <v>1</v>
          </cell>
          <cell r="AP396">
            <v>1</v>
          </cell>
          <cell r="AW396">
            <v>1</v>
          </cell>
          <cell r="AY396">
            <v>1</v>
          </cell>
          <cell r="BC396">
            <v>0</v>
          </cell>
          <cell r="BD396">
            <v>3</v>
          </cell>
          <cell r="BE396">
            <v>0</v>
          </cell>
          <cell r="BF396">
            <v>2</v>
          </cell>
          <cell r="BG396">
            <v>0</v>
          </cell>
          <cell r="BH396">
            <v>0</v>
          </cell>
          <cell r="BI396">
            <v>0</v>
          </cell>
        </row>
        <row r="397">
          <cell r="C397" t="str">
            <v>Trần Kiều Trang</v>
          </cell>
          <cell r="D397">
            <v>1381</v>
          </cell>
          <cell r="E397" t="str">
            <v>Viện Trưởng, BTCB</v>
          </cell>
          <cell r="G397">
            <v>1</v>
          </cell>
          <cell r="H397">
            <v>1</v>
          </cell>
          <cell r="L397">
            <v>1</v>
          </cell>
          <cell r="N397">
            <v>1</v>
          </cell>
          <cell r="O397">
            <v>1</v>
          </cell>
          <cell r="S397">
            <v>1</v>
          </cell>
          <cell r="U397">
            <v>1</v>
          </cell>
          <cell r="V397">
            <v>1</v>
          </cell>
          <cell r="Z397">
            <v>1</v>
          </cell>
          <cell r="AB397">
            <v>1</v>
          </cell>
          <cell r="AC397">
            <v>1</v>
          </cell>
          <cell r="AG397">
            <v>1</v>
          </cell>
          <cell r="AI397">
            <v>1</v>
          </cell>
          <cell r="AJ397">
            <v>1</v>
          </cell>
          <cell r="AN397">
            <v>1</v>
          </cell>
          <cell r="AP397">
            <v>1</v>
          </cell>
          <cell r="AV397">
            <v>1</v>
          </cell>
          <cell r="AW397">
            <v>1</v>
          </cell>
          <cell r="AY397">
            <v>1</v>
          </cell>
          <cell r="BB397">
            <v>1</v>
          </cell>
          <cell r="BC397">
            <v>1</v>
          </cell>
          <cell r="BD397">
            <v>6</v>
          </cell>
          <cell r="BE397">
            <v>4</v>
          </cell>
          <cell r="BF397">
            <v>1</v>
          </cell>
          <cell r="BG397">
            <v>0</v>
          </cell>
          <cell r="BH397">
            <v>0</v>
          </cell>
          <cell r="BI397">
            <v>5</v>
          </cell>
        </row>
        <row r="398">
          <cell r="C398" t="str">
            <v>Đinh Thị Thu Hiền</v>
          </cell>
          <cell r="D398">
            <v>1382</v>
          </cell>
          <cell r="E398" t="str">
            <v>Tổ trưởng tổ văn phòng 
(giống TBM cấu thành)</v>
          </cell>
          <cell r="F398">
            <v>1</v>
          </cell>
          <cell r="G398">
            <v>1</v>
          </cell>
          <cell r="H398">
            <v>1</v>
          </cell>
          <cell r="L398">
            <v>1</v>
          </cell>
          <cell r="M398">
            <v>1</v>
          </cell>
          <cell r="N398">
            <v>1</v>
          </cell>
          <cell r="O398">
            <v>1</v>
          </cell>
          <cell r="S398">
            <v>1</v>
          </cell>
          <cell r="U398">
            <v>1</v>
          </cell>
          <cell r="V398">
            <v>1</v>
          </cell>
          <cell r="Z398">
            <v>1</v>
          </cell>
          <cell r="AB398">
            <v>1</v>
          </cell>
          <cell r="AC398">
            <v>1</v>
          </cell>
          <cell r="AG398">
            <v>1</v>
          </cell>
          <cell r="AI398">
            <v>1</v>
          </cell>
          <cell r="AJ398">
            <v>1</v>
          </cell>
          <cell r="AN398">
            <v>1</v>
          </cell>
          <cell r="AP398">
            <v>1</v>
          </cell>
          <cell r="AZ398">
            <v>1</v>
          </cell>
          <cell r="BC398">
            <v>1</v>
          </cell>
          <cell r="BD398">
            <v>5</v>
          </cell>
          <cell r="BE398">
            <v>4</v>
          </cell>
          <cell r="BF398">
            <v>0</v>
          </cell>
          <cell r="BG398">
            <v>1</v>
          </cell>
          <cell r="BH398">
            <v>0</v>
          </cell>
          <cell r="BI398">
            <v>4</v>
          </cell>
        </row>
        <row r="399">
          <cell r="C399" t="str">
            <v>Đinh Thị Hương Giang</v>
          </cell>
          <cell r="D399">
            <v>1383</v>
          </cell>
          <cell r="G399">
            <v>1</v>
          </cell>
          <cell r="I399">
            <v>1</v>
          </cell>
          <cell r="N399">
            <v>1</v>
          </cell>
          <cell r="O399">
            <v>1</v>
          </cell>
          <cell r="S399">
            <v>1</v>
          </cell>
          <cell r="U399">
            <v>1</v>
          </cell>
          <cell r="V399">
            <v>1</v>
          </cell>
          <cell r="Z399">
            <v>1</v>
          </cell>
          <cell r="AB399">
            <v>1</v>
          </cell>
          <cell r="AC399">
            <v>1</v>
          </cell>
          <cell r="AG399">
            <v>1</v>
          </cell>
          <cell r="AH399">
            <v>1</v>
          </cell>
          <cell r="AI399">
            <v>1</v>
          </cell>
          <cell r="AJ399">
            <v>1</v>
          </cell>
          <cell r="AN399">
            <v>1</v>
          </cell>
          <cell r="AP399">
            <v>1</v>
          </cell>
          <cell r="AW399">
            <v>1</v>
          </cell>
          <cell r="AY399">
            <v>1</v>
          </cell>
          <cell r="BC399">
            <v>1</v>
          </cell>
          <cell r="BD399">
            <v>6</v>
          </cell>
          <cell r="BE399">
            <v>4</v>
          </cell>
          <cell r="BF399">
            <v>1</v>
          </cell>
          <cell r="BG399">
            <v>0</v>
          </cell>
          <cell r="BH399">
            <v>0</v>
          </cell>
          <cell r="BI399">
            <v>4</v>
          </cell>
        </row>
        <row r="400">
          <cell r="C400" t="str">
            <v>Lê Thị Diễn Hải</v>
          </cell>
          <cell r="D400">
            <v>1606</v>
          </cell>
          <cell r="F400">
            <v>1</v>
          </cell>
          <cell r="G400">
            <v>1</v>
          </cell>
          <cell r="H400">
            <v>1</v>
          </cell>
          <cell r="L400">
            <v>1</v>
          </cell>
          <cell r="N400">
            <v>1</v>
          </cell>
          <cell r="O400">
            <v>1</v>
          </cell>
          <cell r="S400">
            <v>1</v>
          </cell>
          <cell r="U400">
            <v>1</v>
          </cell>
          <cell r="W400">
            <v>1</v>
          </cell>
          <cell r="AB400">
            <v>1</v>
          </cell>
          <cell r="AC400">
            <v>1</v>
          </cell>
          <cell r="AG400">
            <v>1</v>
          </cell>
          <cell r="AI400">
            <v>1</v>
          </cell>
          <cell r="AK400">
            <v>1</v>
          </cell>
          <cell r="AP400">
            <v>1</v>
          </cell>
          <cell r="AW400">
            <v>1</v>
          </cell>
          <cell r="AX400">
            <v>1</v>
          </cell>
          <cell r="BB400">
            <v>1</v>
          </cell>
          <cell r="BC400">
            <v>0</v>
          </cell>
          <cell r="BD400">
            <v>6</v>
          </cell>
          <cell r="BE400">
            <v>3</v>
          </cell>
          <cell r="BF400">
            <v>2</v>
          </cell>
          <cell r="BG400">
            <v>0</v>
          </cell>
          <cell r="BH400">
            <v>0</v>
          </cell>
          <cell r="BI400">
            <v>3</v>
          </cell>
        </row>
        <row r="401">
          <cell r="C401" t="str">
            <v>Nguyễn Thị Hạnh</v>
          </cell>
          <cell r="D401">
            <v>1573</v>
          </cell>
          <cell r="E401" t="str">
            <v>Trưởng ban</v>
          </cell>
          <cell r="G401">
            <v>1</v>
          </cell>
          <cell r="H401">
            <v>1</v>
          </cell>
          <cell r="L401">
            <v>1</v>
          </cell>
          <cell r="N401">
            <v>1</v>
          </cell>
          <cell r="O401">
            <v>1</v>
          </cell>
          <cell r="S401">
            <v>1</v>
          </cell>
          <cell r="U401">
            <v>1</v>
          </cell>
          <cell r="V401">
            <v>1</v>
          </cell>
          <cell r="Z401">
            <v>1</v>
          </cell>
          <cell r="AB401">
            <v>1</v>
          </cell>
          <cell r="AC401">
            <v>1</v>
          </cell>
          <cell r="AG401">
            <v>1</v>
          </cell>
          <cell r="AI401">
            <v>1</v>
          </cell>
          <cell r="AJ401">
            <v>1</v>
          </cell>
          <cell r="AN401">
            <v>1</v>
          </cell>
          <cell r="AQ401">
            <v>1</v>
          </cell>
          <cell r="AU401">
            <v>1</v>
          </cell>
          <cell r="AW401">
            <v>1</v>
          </cell>
          <cell r="AY401">
            <v>1</v>
          </cell>
          <cell r="BC401">
            <v>0</v>
          </cell>
          <cell r="BD401">
            <v>5</v>
          </cell>
          <cell r="BE401">
            <v>5</v>
          </cell>
          <cell r="BF401">
            <v>1</v>
          </cell>
          <cell r="BG401">
            <v>0</v>
          </cell>
          <cell r="BH401">
            <v>0</v>
          </cell>
          <cell r="BI401">
            <v>5</v>
          </cell>
        </row>
        <row r="402">
          <cell r="C402" t="str">
            <v>Nguyễn Xuân Hưng</v>
          </cell>
          <cell r="D402">
            <v>1579</v>
          </cell>
          <cell r="AI402">
            <v>1</v>
          </cell>
          <cell r="AJ402">
            <v>1</v>
          </cell>
          <cell r="AN402">
            <v>1</v>
          </cell>
          <cell r="AW402">
            <v>1</v>
          </cell>
          <cell r="AY402">
            <v>1</v>
          </cell>
          <cell r="BC402">
            <v>0</v>
          </cell>
          <cell r="BD402">
            <v>2</v>
          </cell>
          <cell r="BE402">
            <v>1</v>
          </cell>
          <cell r="BF402">
            <v>1</v>
          </cell>
          <cell r="BG402">
            <v>0</v>
          </cell>
          <cell r="BH402">
            <v>0</v>
          </cell>
          <cell r="BI402">
            <v>1</v>
          </cell>
        </row>
        <row r="403">
          <cell r="C403" t="str">
            <v>Kim Hoàng Giang</v>
          </cell>
          <cell r="D403">
            <v>1385</v>
          </cell>
          <cell r="E403" t="str">
            <v>Phó Viện trưởng, PBTCB</v>
          </cell>
          <cell r="G403">
            <v>1</v>
          </cell>
          <cell r="I403">
            <v>1</v>
          </cell>
          <cell r="N403">
            <v>1</v>
          </cell>
          <cell r="P403">
            <v>1</v>
          </cell>
          <cell r="T403">
            <v>1</v>
          </cell>
          <cell r="U403">
            <v>1</v>
          </cell>
          <cell r="V403">
            <v>1</v>
          </cell>
          <cell r="Z403">
            <v>1</v>
          </cell>
          <cell r="AA403">
            <v>1</v>
          </cell>
          <cell r="AB403">
            <v>1</v>
          </cell>
          <cell r="AC403">
            <v>1</v>
          </cell>
          <cell r="AG403">
            <v>1</v>
          </cell>
          <cell r="AI403">
            <v>1</v>
          </cell>
          <cell r="AJ403">
            <v>1</v>
          </cell>
          <cell r="AN403">
            <v>1</v>
          </cell>
          <cell r="AO403">
            <v>1</v>
          </cell>
          <cell r="AP403">
            <v>1</v>
          </cell>
          <cell r="AQ403">
            <v>1</v>
          </cell>
          <cell r="AU403">
            <v>1</v>
          </cell>
          <cell r="AW403">
            <v>1</v>
          </cell>
          <cell r="AY403">
            <v>1</v>
          </cell>
          <cell r="BC403">
            <v>3</v>
          </cell>
          <cell r="BD403">
            <v>6</v>
          </cell>
          <cell r="BE403">
            <v>4</v>
          </cell>
          <cell r="BF403">
            <v>2</v>
          </cell>
          <cell r="BG403">
            <v>0</v>
          </cell>
          <cell r="BH403">
            <v>0</v>
          </cell>
          <cell r="BI403">
            <v>4</v>
          </cell>
        </row>
        <row r="404">
          <cell r="C404" t="str">
            <v>Nguyễn Hoàng Nam</v>
          </cell>
          <cell r="D404">
            <v>1042</v>
          </cell>
          <cell r="E404" t="str">
            <v>Trưởng ban truyển thông 
&amp; tuyển sinh</v>
          </cell>
          <cell r="G404">
            <v>1</v>
          </cell>
          <cell r="H404">
            <v>1</v>
          </cell>
          <cell r="L404">
            <v>1</v>
          </cell>
          <cell r="N404">
            <v>1</v>
          </cell>
          <cell r="P404">
            <v>1</v>
          </cell>
          <cell r="U404">
            <v>1</v>
          </cell>
          <cell r="V404">
            <v>1</v>
          </cell>
          <cell r="Z404">
            <v>1</v>
          </cell>
          <cell r="AB404">
            <v>1</v>
          </cell>
          <cell r="AC404">
            <v>1</v>
          </cell>
          <cell r="AG404">
            <v>1</v>
          </cell>
          <cell r="AI404">
            <v>1</v>
          </cell>
          <cell r="AJ404">
            <v>1</v>
          </cell>
          <cell r="AN404">
            <v>1</v>
          </cell>
          <cell r="AP404">
            <v>1</v>
          </cell>
          <cell r="AW404">
            <v>1</v>
          </cell>
          <cell r="AY404">
            <v>1</v>
          </cell>
          <cell r="BC404">
            <v>0</v>
          </cell>
          <cell r="BD404">
            <v>6</v>
          </cell>
          <cell r="BE404">
            <v>3</v>
          </cell>
          <cell r="BF404">
            <v>2</v>
          </cell>
          <cell r="BG404">
            <v>0</v>
          </cell>
          <cell r="BH404">
            <v>0</v>
          </cell>
          <cell r="BI404">
            <v>3</v>
          </cell>
        </row>
        <row r="405">
          <cell r="C405" t="str">
            <v>Nguyễn Tiến Dũng</v>
          </cell>
          <cell r="D405">
            <v>1386</v>
          </cell>
          <cell r="AI405">
            <v>1</v>
          </cell>
          <cell r="AJ405">
            <v>1</v>
          </cell>
          <cell r="AN405">
            <v>1</v>
          </cell>
          <cell r="AP405">
            <v>1</v>
          </cell>
          <cell r="AW405">
            <v>1</v>
          </cell>
          <cell r="AY405">
            <v>1</v>
          </cell>
          <cell r="BC405">
            <v>0</v>
          </cell>
          <cell r="BD405">
            <v>3</v>
          </cell>
          <cell r="BE405">
            <v>1</v>
          </cell>
          <cell r="BF405">
            <v>1</v>
          </cell>
          <cell r="BG405">
            <v>0</v>
          </cell>
          <cell r="BH405">
            <v>0</v>
          </cell>
          <cell r="BI405">
            <v>1</v>
          </cell>
        </row>
        <row r="406">
          <cell r="C406" t="str">
            <v>Trần Thị Thu Thủy</v>
          </cell>
          <cell r="D406">
            <v>1387</v>
          </cell>
          <cell r="AI406">
            <v>1</v>
          </cell>
          <cell r="AJ406">
            <v>1</v>
          </cell>
          <cell r="AN406">
            <v>1</v>
          </cell>
          <cell r="AP406">
            <v>1</v>
          </cell>
          <cell r="AQ406">
            <v>1</v>
          </cell>
          <cell r="AU406">
            <v>1</v>
          </cell>
          <cell r="AV406">
            <v>1</v>
          </cell>
          <cell r="AW406">
            <v>1</v>
          </cell>
          <cell r="AX406">
            <v>1</v>
          </cell>
          <cell r="BB406">
            <v>1</v>
          </cell>
          <cell r="BC406">
            <v>1</v>
          </cell>
          <cell r="BD406">
            <v>3</v>
          </cell>
          <cell r="BE406">
            <v>3</v>
          </cell>
          <cell r="BF406">
            <v>0</v>
          </cell>
          <cell r="BG406">
            <v>0</v>
          </cell>
          <cell r="BH406">
            <v>0</v>
          </cell>
          <cell r="BI406">
            <v>3</v>
          </cell>
        </row>
        <row r="407">
          <cell r="C407" t="str">
            <v>Đinh Thị Mai Anh</v>
          </cell>
          <cell r="D407">
            <v>1388</v>
          </cell>
          <cell r="AP407">
            <v>1</v>
          </cell>
          <cell r="AV407">
            <v>1</v>
          </cell>
          <cell r="AW407">
            <v>1</v>
          </cell>
          <cell r="AY407">
            <v>1</v>
          </cell>
          <cell r="BB407">
            <v>1</v>
          </cell>
          <cell r="BC407">
            <v>1</v>
          </cell>
          <cell r="BD407">
            <v>2</v>
          </cell>
          <cell r="BE407">
            <v>0</v>
          </cell>
          <cell r="BF407">
            <v>1</v>
          </cell>
          <cell r="BG407">
            <v>0</v>
          </cell>
          <cell r="BH407">
            <v>0</v>
          </cell>
          <cell r="BI407">
            <v>1</v>
          </cell>
        </row>
        <row r="408">
          <cell r="C408" t="str">
            <v>Nguyễn Thị Thuỳ Dương</v>
          </cell>
          <cell r="D408">
            <v>1389</v>
          </cell>
          <cell r="E408" t="str">
            <v>Phó Viện trưởng</v>
          </cell>
          <cell r="F408">
            <v>1</v>
          </cell>
          <cell r="G408">
            <v>1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O408">
            <v>1</v>
          </cell>
          <cell r="S408">
            <v>1</v>
          </cell>
          <cell r="U408">
            <v>1</v>
          </cell>
          <cell r="V408">
            <v>1</v>
          </cell>
          <cell r="Z408">
            <v>1</v>
          </cell>
          <cell r="AB408">
            <v>1</v>
          </cell>
          <cell r="AC408">
            <v>1</v>
          </cell>
          <cell r="AG408">
            <v>1</v>
          </cell>
          <cell r="AI408">
            <v>1</v>
          </cell>
          <cell r="AJ408">
            <v>1</v>
          </cell>
          <cell r="AN408">
            <v>1</v>
          </cell>
          <cell r="AP408">
            <v>1</v>
          </cell>
          <cell r="AW408">
            <v>1</v>
          </cell>
          <cell r="AX408">
            <v>1</v>
          </cell>
          <cell r="BB408">
            <v>1</v>
          </cell>
          <cell r="BC408">
            <v>1</v>
          </cell>
          <cell r="BD408">
            <v>6</v>
          </cell>
          <cell r="BE408">
            <v>5</v>
          </cell>
          <cell r="BF408">
            <v>0</v>
          </cell>
          <cell r="BG408">
            <v>0</v>
          </cell>
          <cell r="BH408">
            <v>0</v>
          </cell>
          <cell r="BI408">
            <v>5</v>
          </cell>
        </row>
        <row r="409">
          <cell r="C409" t="str">
            <v>Bùi Việt Thu</v>
          </cell>
          <cell r="D409">
            <v>1390</v>
          </cell>
          <cell r="E409" t="str">
            <v>Trưởng ban QLĐT</v>
          </cell>
          <cell r="G409">
            <v>1</v>
          </cell>
          <cell r="I409">
            <v>1</v>
          </cell>
          <cell r="N409">
            <v>1</v>
          </cell>
          <cell r="O409">
            <v>1</v>
          </cell>
          <cell r="S409">
            <v>1</v>
          </cell>
          <cell r="T409">
            <v>1</v>
          </cell>
          <cell r="U409">
            <v>1</v>
          </cell>
          <cell r="V409">
            <v>1</v>
          </cell>
          <cell r="Z409">
            <v>1</v>
          </cell>
          <cell r="AB409">
            <v>1</v>
          </cell>
          <cell r="AD409">
            <v>1</v>
          </cell>
          <cell r="AI409">
            <v>1</v>
          </cell>
          <cell r="AK409">
            <v>1</v>
          </cell>
          <cell r="AN409">
            <v>1</v>
          </cell>
          <cell r="AP409">
            <v>1</v>
          </cell>
          <cell r="AV409">
            <v>1</v>
          </cell>
          <cell r="AW409">
            <v>1</v>
          </cell>
          <cell r="AY409">
            <v>1</v>
          </cell>
          <cell r="BB409">
            <v>1</v>
          </cell>
          <cell r="BC409">
            <v>2</v>
          </cell>
          <cell r="BD409">
            <v>6</v>
          </cell>
          <cell r="BE409">
            <v>2</v>
          </cell>
          <cell r="BF409">
            <v>3</v>
          </cell>
          <cell r="BG409">
            <v>0</v>
          </cell>
          <cell r="BH409">
            <v>0</v>
          </cell>
          <cell r="BI409">
            <v>4</v>
          </cell>
        </row>
        <row r="410">
          <cell r="C410" t="str">
            <v>Hoàng Đức Việt</v>
          </cell>
          <cell r="D410">
            <v>1392</v>
          </cell>
          <cell r="AW410">
            <v>1</v>
          </cell>
          <cell r="AY410">
            <v>1</v>
          </cell>
          <cell r="BC410">
            <v>0</v>
          </cell>
          <cell r="BD410">
            <v>1</v>
          </cell>
          <cell r="BE410">
            <v>0</v>
          </cell>
          <cell r="BF410">
            <v>1</v>
          </cell>
          <cell r="BG410">
            <v>0</v>
          </cell>
          <cell r="BH410">
            <v>0</v>
          </cell>
          <cell r="BI410">
            <v>0</v>
          </cell>
        </row>
        <row r="411">
          <cell r="C411" t="str">
            <v>Nguyễn Hoàng Tú Anh</v>
          </cell>
          <cell r="D411">
            <v>1384</v>
          </cell>
          <cell r="AP411">
            <v>1</v>
          </cell>
          <cell r="AV411">
            <v>1</v>
          </cell>
          <cell r="AW411">
            <v>1</v>
          </cell>
          <cell r="AX411">
            <v>1</v>
          </cell>
          <cell r="BB411">
            <v>1</v>
          </cell>
          <cell r="BC411">
            <v>1</v>
          </cell>
          <cell r="BD411">
            <v>2</v>
          </cell>
          <cell r="BE411">
            <v>1</v>
          </cell>
          <cell r="BF411">
            <v>0</v>
          </cell>
          <cell r="BG411">
            <v>0</v>
          </cell>
          <cell r="BH411">
            <v>0</v>
          </cell>
          <cell r="BI411">
            <v>1</v>
          </cell>
        </row>
        <row r="412">
          <cell r="C412" t="str">
            <v>Hoàng Thị Hoa</v>
          </cell>
          <cell r="D412">
            <v>1395</v>
          </cell>
          <cell r="G412">
            <v>1</v>
          </cell>
          <cell r="I412">
            <v>1</v>
          </cell>
          <cell r="N412">
            <v>1</v>
          </cell>
          <cell r="P412">
            <v>1</v>
          </cell>
          <cell r="U412">
            <v>1</v>
          </cell>
          <cell r="V412">
            <v>1</v>
          </cell>
          <cell r="Z412">
            <v>1</v>
          </cell>
          <cell r="AB412">
            <v>1</v>
          </cell>
          <cell r="AC412">
            <v>1</v>
          </cell>
          <cell r="AG412">
            <v>1</v>
          </cell>
          <cell r="AH412">
            <v>1</v>
          </cell>
          <cell r="AI412">
            <v>1</v>
          </cell>
          <cell r="AJ412">
            <v>1</v>
          </cell>
          <cell r="AN412">
            <v>1</v>
          </cell>
          <cell r="AP412">
            <v>1</v>
          </cell>
          <cell r="AQ412">
            <v>1</v>
          </cell>
          <cell r="AU412">
            <v>1</v>
          </cell>
          <cell r="AW412">
            <v>1</v>
          </cell>
          <cell r="AY412">
            <v>1</v>
          </cell>
          <cell r="BC412">
            <v>1</v>
          </cell>
          <cell r="BD412">
            <v>6</v>
          </cell>
          <cell r="BE412">
            <v>4</v>
          </cell>
          <cell r="BF412">
            <v>2</v>
          </cell>
          <cell r="BG412">
            <v>0</v>
          </cell>
          <cell r="BH412">
            <v>0</v>
          </cell>
          <cell r="BI412">
            <v>4</v>
          </cell>
        </row>
        <row r="413">
          <cell r="C413" t="str">
            <v>Nguyễn Thị Phương Thanh</v>
          </cell>
          <cell r="D413">
            <v>1396</v>
          </cell>
          <cell r="G413">
            <v>1</v>
          </cell>
          <cell r="H413">
            <v>1</v>
          </cell>
          <cell r="L413">
            <v>1</v>
          </cell>
          <cell r="N413">
            <v>1</v>
          </cell>
          <cell r="P413">
            <v>1</v>
          </cell>
          <cell r="T413">
            <v>1</v>
          </cell>
          <cell r="U413">
            <v>1</v>
          </cell>
          <cell r="V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1</v>
          </cell>
          <cell r="AG413">
            <v>1</v>
          </cell>
          <cell r="AI413">
            <v>1</v>
          </cell>
          <cell r="AK413">
            <v>1</v>
          </cell>
          <cell r="AP413">
            <v>1</v>
          </cell>
          <cell r="AQ413">
            <v>1</v>
          </cell>
          <cell r="AU413">
            <v>1</v>
          </cell>
          <cell r="AW413">
            <v>1</v>
          </cell>
          <cell r="AY413">
            <v>1</v>
          </cell>
          <cell r="BC413">
            <v>2</v>
          </cell>
          <cell r="BD413">
            <v>6</v>
          </cell>
          <cell r="BE413">
            <v>3</v>
          </cell>
          <cell r="BF413">
            <v>3</v>
          </cell>
          <cell r="BG413">
            <v>0</v>
          </cell>
          <cell r="BH413">
            <v>0</v>
          </cell>
          <cell r="BI413">
            <v>3</v>
          </cell>
        </row>
        <row r="414">
          <cell r="C414" t="str">
            <v>Vũ Thùy Dung</v>
          </cell>
          <cell r="D414">
            <v>1760</v>
          </cell>
          <cell r="AW414">
            <v>1</v>
          </cell>
          <cell r="AY414">
            <v>1</v>
          </cell>
          <cell r="BC414">
            <v>0</v>
          </cell>
          <cell r="BD414">
            <v>1</v>
          </cell>
          <cell r="BE414">
            <v>0</v>
          </cell>
          <cell r="BF414">
            <v>1</v>
          </cell>
          <cell r="BG414">
            <v>0</v>
          </cell>
          <cell r="BH414">
            <v>0</v>
          </cell>
          <cell r="BI414">
            <v>0</v>
          </cell>
        </row>
        <row r="415">
          <cell r="C415" t="str">
            <v>Vương Minh Ngọc</v>
          </cell>
          <cell r="D415">
            <v>1393</v>
          </cell>
          <cell r="AK415">
            <v>1</v>
          </cell>
          <cell r="AP415">
            <v>1</v>
          </cell>
          <cell r="AQ415">
            <v>1</v>
          </cell>
          <cell r="AU415">
            <v>1</v>
          </cell>
          <cell r="AW415">
            <v>1</v>
          </cell>
          <cell r="AY415">
            <v>1</v>
          </cell>
          <cell r="BC415">
            <v>0</v>
          </cell>
          <cell r="BD415">
            <v>2</v>
          </cell>
          <cell r="BE415">
            <v>1</v>
          </cell>
          <cell r="BF415">
            <v>2</v>
          </cell>
          <cell r="BG415">
            <v>0</v>
          </cell>
          <cell r="BH415">
            <v>0</v>
          </cell>
          <cell r="BI415">
            <v>1</v>
          </cell>
        </row>
        <row r="416">
          <cell r="C416" t="str">
            <v>Nguyễn Thị Thu Hồng</v>
          </cell>
          <cell r="D416">
            <v>1397</v>
          </cell>
          <cell r="E416" t="str">
            <v>Trưởng bộ môn, CUV</v>
          </cell>
          <cell r="G416">
            <v>1</v>
          </cell>
          <cell r="H416">
            <v>1</v>
          </cell>
          <cell r="L416">
            <v>1</v>
          </cell>
          <cell r="N416">
            <v>1</v>
          </cell>
          <cell r="O416">
            <v>1</v>
          </cell>
          <cell r="S416">
            <v>1</v>
          </cell>
          <cell r="U416">
            <v>1</v>
          </cell>
          <cell r="W416">
            <v>1</v>
          </cell>
          <cell r="AB416">
            <v>1</v>
          </cell>
          <cell r="AC416">
            <v>1</v>
          </cell>
          <cell r="AG416">
            <v>1</v>
          </cell>
          <cell r="AH416">
            <v>1</v>
          </cell>
          <cell r="AI416">
            <v>1</v>
          </cell>
          <cell r="AJ416">
            <v>1</v>
          </cell>
          <cell r="AN416">
            <v>1</v>
          </cell>
          <cell r="AP416">
            <v>1</v>
          </cell>
          <cell r="AV416">
            <v>1</v>
          </cell>
          <cell r="AW416">
            <v>1</v>
          </cell>
          <cell r="AY416">
            <v>1</v>
          </cell>
          <cell r="BB416">
            <v>1</v>
          </cell>
          <cell r="BC416">
            <v>2</v>
          </cell>
          <cell r="BD416">
            <v>6</v>
          </cell>
          <cell r="BE416">
            <v>3</v>
          </cell>
          <cell r="BF416">
            <v>2</v>
          </cell>
          <cell r="BG416">
            <v>0</v>
          </cell>
          <cell r="BH416">
            <v>0</v>
          </cell>
          <cell r="BI416">
            <v>4</v>
          </cell>
        </row>
        <row r="417">
          <cell r="C417" t="str">
            <v>Đỗ Thị Mai Quyên</v>
          </cell>
          <cell r="D417">
            <v>1398</v>
          </cell>
          <cell r="G417">
            <v>1</v>
          </cell>
          <cell r="H417">
            <v>1</v>
          </cell>
          <cell r="L417">
            <v>1</v>
          </cell>
          <cell r="N417">
            <v>1</v>
          </cell>
          <cell r="O417">
            <v>1</v>
          </cell>
          <cell r="S417">
            <v>1</v>
          </cell>
          <cell r="U417">
            <v>1</v>
          </cell>
          <cell r="V417">
            <v>1</v>
          </cell>
          <cell r="Z417">
            <v>1</v>
          </cell>
          <cell r="AB417">
            <v>1</v>
          </cell>
          <cell r="AD417">
            <v>1</v>
          </cell>
          <cell r="AI417">
            <v>1</v>
          </cell>
          <cell r="AJ417">
            <v>1</v>
          </cell>
          <cell r="AN417">
            <v>1</v>
          </cell>
          <cell r="AP417">
            <v>1</v>
          </cell>
          <cell r="AQ417">
            <v>1</v>
          </cell>
          <cell r="AU417">
            <v>1</v>
          </cell>
          <cell r="AW417">
            <v>1</v>
          </cell>
          <cell r="AY417">
            <v>1</v>
          </cell>
          <cell r="BC417">
            <v>0</v>
          </cell>
          <cell r="BD417">
            <v>6</v>
          </cell>
          <cell r="BE417">
            <v>4</v>
          </cell>
          <cell r="BF417">
            <v>2</v>
          </cell>
          <cell r="BG417">
            <v>0</v>
          </cell>
          <cell r="BH417">
            <v>0</v>
          </cell>
          <cell r="BI417">
            <v>4</v>
          </cell>
        </row>
        <row r="418">
          <cell r="C418" t="str">
            <v>Bùi Thị Quỳnh Trang</v>
          </cell>
          <cell r="D418">
            <v>1400</v>
          </cell>
          <cell r="E418" t="str">
            <v>CUV, CTCĐ</v>
          </cell>
          <cell r="G418">
            <v>1</v>
          </cell>
          <cell r="I418">
            <v>1</v>
          </cell>
          <cell r="N418">
            <v>1</v>
          </cell>
          <cell r="O418">
            <v>1</v>
          </cell>
          <cell r="S418">
            <v>1</v>
          </cell>
          <cell r="U418">
            <v>1</v>
          </cell>
          <cell r="W418">
            <v>1</v>
          </cell>
          <cell r="AB418">
            <v>1</v>
          </cell>
          <cell r="AC418">
            <v>1</v>
          </cell>
          <cell r="AG418">
            <v>1</v>
          </cell>
          <cell r="AI418">
            <v>1</v>
          </cell>
          <cell r="AJ418">
            <v>1</v>
          </cell>
          <cell r="AN418">
            <v>1</v>
          </cell>
          <cell r="AP418">
            <v>1</v>
          </cell>
          <cell r="AW418">
            <v>1</v>
          </cell>
          <cell r="AX418">
            <v>1</v>
          </cell>
          <cell r="BB418">
            <v>1</v>
          </cell>
          <cell r="BC418">
            <v>0</v>
          </cell>
          <cell r="BD418">
            <v>6</v>
          </cell>
          <cell r="BE418">
            <v>4</v>
          </cell>
          <cell r="BF418">
            <v>1</v>
          </cell>
          <cell r="BG418">
            <v>0</v>
          </cell>
          <cell r="BH418">
            <v>0</v>
          </cell>
          <cell r="BI418">
            <v>4</v>
          </cell>
        </row>
        <row r="419">
          <cell r="C419" t="str">
            <v>Hoàng Thị Hải Yến</v>
          </cell>
          <cell r="D419">
            <v>1401</v>
          </cell>
          <cell r="G419">
            <v>1</v>
          </cell>
          <cell r="I419">
            <v>1</v>
          </cell>
          <cell r="N419">
            <v>1</v>
          </cell>
          <cell r="P419">
            <v>1</v>
          </cell>
          <cell r="U419">
            <v>1</v>
          </cell>
          <cell r="W419">
            <v>1</v>
          </cell>
          <cell r="AB419">
            <v>1</v>
          </cell>
          <cell r="AC419">
            <v>1</v>
          </cell>
          <cell r="AG419">
            <v>1</v>
          </cell>
          <cell r="AI419">
            <v>1</v>
          </cell>
          <cell r="AJ419">
            <v>1</v>
          </cell>
          <cell r="AN419">
            <v>1</v>
          </cell>
          <cell r="AP419">
            <v>1</v>
          </cell>
          <cell r="AW419">
            <v>1</v>
          </cell>
          <cell r="AY419">
            <v>1</v>
          </cell>
          <cell r="BC419">
            <v>0</v>
          </cell>
          <cell r="BD419">
            <v>6</v>
          </cell>
          <cell r="BE419">
            <v>2</v>
          </cell>
          <cell r="BF419">
            <v>3</v>
          </cell>
          <cell r="BG419">
            <v>0</v>
          </cell>
          <cell r="BH419">
            <v>0</v>
          </cell>
          <cell r="BI419">
            <v>2</v>
          </cell>
        </row>
        <row r="420">
          <cell r="C420" t="str">
            <v>Lê Thuỳ Dương</v>
          </cell>
          <cell r="D420">
            <v>1402</v>
          </cell>
          <cell r="G420">
            <v>1</v>
          </cell>
          <cell r="I420">
            <v>1</v>
          </cell>
          <cell r="N420">
            <v>1</v>
          </cell>
          <cell r="P420">
            <v>1</v>
          </cell>
          <cell r="U420">
            <v>1</v>
          </cell>
          <cell r="W420">
            <v>1</v>
          </cell>
          <cell r="AB420">
            <v>1</v>
          </cell>
          <cell r="AC420">
            <v>1</v>
          </cell>
          <cell r="AG420">
            <v>1</v>
          </cell>
          <cell r="AH420">
            <v>1</v>
          </cell>
          <cell r="AI420">
            <v>1</v>
          </cell>
          <cell r="AJ420">
            <v>1</v>
          </cell>
          <cell r="AN420">
            <v>1</v>
          </cell>
          <cell r="AO420">
            <v>1</v>
          </cell>
          <cell r="AP420">
            <v>1</v>
          </cell>
          <cell r="AQ420">
            <v>1</v>
          </cell>
          <cell r="AU420">
            <v>1</v>
          </cell>
          <cell r="AW420">
            <v>1</v>
          </cell>
          <cell r="AY420">
            <v>1</v>
          </cell>
          <cell r="BC420">
            <v>2</v>
          </cell>
          <cell r="BD420">
            <v>6</v>
          </cell>
          <cell r="BE420">
            <v>3</v>
          </cell>
          <cell r="BF420">
            <v>3</v>
          </cell>
          <cell r="BG420">
            <v>0</v>
          </cell>
          <cell r="BH420">
            <v>0</v>
          </cell>
          <cell r="BI420">
            <v>3</v>
          </cell>
        </row>
        <row r="421">
          <cell r="C421" t="str">
            <v>Phạm Thị Thanh Thanh</v>
          </cell>
          <cell r="D421">
            <v>1403</v>
          </cell>
          <cell r="F421">
            <v>1</v>
          </cell>
          <cell r="G421">
            <v>1</v>
          </cell>
          <cell r="H421">
            <v>1</v>
          </cell>
          <cell r="L421">
            <v>1</v>
          </cell>
          <cell r="M421">
            <v>1</v>
          </cell>
          <cell r="N421">
            <v>1</v>
          </cell>
          <cell r="O421">
            <v>1</v>
          </cell>
          <cell r="S421">
            <v>1</v>
          </cell>
          <cell r="U421">
            <v>1</v>
          </cell>
          <cell r="W421">
            <v>1</v>
          </cell>
          <cell r="AB421">
            <v>1</v>
          </cell>
          <cell r="AD421">
            <v>1</v>
          </cell>
          <cell r="AI421">
            <v>1</v>
          </cell>
          <cell r="AK421">
            <v>1</v>
          </cell>
          <cell r="AP421">
            <v>1</v>
          </cell>
          <cell r="AW421">
            <v>1</v>
          </cell>
          <cell r="AY421">
            <v>1</v>
          </cell>
          <cell r="BC421">
            <v>1</v>
          </cell>
          <cell r="BD421">
            <v>6</v>
          </cell>
          <cell r="BE421">
            <v>1</v>
          </cell>
          <cell r="BF421">
            <v>4</v>
          </cell>
          <cell r="BG421">
            <v>0</v>
          </cell>
          <cell r="BH421">
            <v>0</v>
          </cell>
          <cell r="BI421">
            <v>1</v>
          </cell>
        </row>
        <row r="422">
          <cell r="C422" t="str">
            <v>Nguyễn Thị Hồng Vân</v>
          </cell>
          <cell r="D422">
            <v>1404</v>
          </cell>
          <cell r="G422">
            <v>1</v>
          </cell>
          <cell r="I422">
            <v>1</v>
          </cell>
          <cell r="N422">
            <v>1</v>
          </cell>
          <cell r="P422">
            <v>1</v>
          </cell>
          <cell r="U422">
            <v>1</v>
          </cell>
          <cell r="W422">
            <v>1</v>
          </cell>
          <cell r="AB422">
            <v>1</v>
          </cell>
          <cell r="AD422">
            <v>1</v>
          </cell>
          <cell r="AI422">
            <v>1</v>
          </cell>
          <cell r="AJ422">
            <v>1</v>
          </cell>
          <cell r="AN422">
            <v>1</v>
          </cell>
          <cell r="AP422">
            <v>1</v>
          </cell>
          <cell r="AQ422">
            <v>1</v>
          </cell>
          <cell r="AU422">
            <v>1</v>
          </cell>
          <cell r="AW422">
            <v>1</v>
          </cell>
          <cell r="AY422">
            <v>1</v>
          </cell>
          <cell r="BC422">
            <v>0</v>
          </cell>
          <cell r="BD422">
            <v>6</v>
          </cell>
          <cell r="BE422">
            <v>2</v>
          </cell>
          <cell r="BF422">
            <v>4</v>
          </cell>
          <cell r="BG422">
            <v>0</v>
          </cell>
          <cell r="BH422">
            <v>0</v>
          </cell>
          <cell r="BI422">
            <v>2</v>
          </cell>
        </row>
        <row r="423">
          <cell r="C423" t="str">
            <v>Nguyễn Thị Thùy Dương</v>
          </cell>
          <cell r="D423">
            <v>1405</v>
          </cell>
          <cell r="G423">
            <v>1</v>
          </cell>
          <cell r="H423">
            <v>1</v>
          </cell>
          <cell r="L423">
            <v>1</v>
          </cell>
          <cell r="N423">
            <v>1</v>
          </cell>
          <cell r="P423">
            <v>1</v>
          </cell>
          <cell r="U423">
            <v>1</v>
          </cell>
          <cell r="W423">
            <v>1</v>
          </cell>
          <cell r="AB423">
            <v>1</v>
          </cell>
          <cell r="AC423">
            <v>1</v>
          </cell>
          <cell r="AG423">
            <v>1</v>
          </cell>
          <cell r="AI423">
            <v>1</v>
          </cell>
          <cell r="AK423">
            <v>1</v>
          </cell>
          <cell r="AP423">
            <v>1</v>
          </cell>
          <cell r="AQ423">
            <v>1</v>
          </cell>
          <cell r="AU423">
            <v>1</v>
          </cell>
          <cell r="AV423">
            <v>1</v>
          </cell>
          <cell r="AW423">
            <v>1</v>
          </cell>
          <cell r="AY423">
            <v>1</v>
          </cell>
          <cell r="BB423">
            <v>1</v>
          </cell>
          <cell r="BC423">
            <v>1</v>
          </cell>
          <cell r="BD423">
            <v>6</v>
          </cell>
          <cell r="BE423">
            <v>2</v>
          </cell>
          <cell r="BF423">
            <v>4</v>
          </cell>
          <cell r="BG423">
            <v>0</v>
          </cell>
          <cell r="BH423">
            <v>0</v>
          </cell>
          <cell r="BI423">
            <v>3</v>
          </cell>
        </row>
        <row r="424">
          <cell r="C424" t="str">
            <v>Phùng Thị Thu Trang</v>
          </cell>
          <cell r="D424">
            <v>1406</v>
          </cell>
          <cell r="E424" t="str">
            <v>Trưởng bộ môn</v>
          </cell>
          <cell r="G424">
            <v>1</v>
          </cell>
          <cell r="I424">
            <v>1</v>
          </cell>
          <cell r="N424">
            <v>1</v>
          </cell>
          <cell r="O424">
            <v>1</v>
          </cell>
          <cell r="S424">
            <v>1</v>
          </cell>
          <cell r="U424">
            <v>1</v>
          </cell>
          <cell r="W424">
            <v>1</v>
          </cell>
          <cell r="AB424">
            <v>1</v>
          </cell>
          <cell r="AC424">
            <v>1</v>
          </cell>
          <cell r="AG424">
            <v>1</v>
          </cell>
          <cell r="AI424">
            <v>1</v>
          </cell>
          <cell r="AJ424">
            <v>1</v>
          </cell>
          <cell r="AN424">
            <v>1</v>
          </cell>
          <cell r="AP424">
            <v>1</v>
          </cell>
          <cell r="AV424">
            <v>1</v>
          </cell>
          <cell r="AW424">
            <v>1</v>
          </cell>
          <cell r="AY424">
            <v>1</v>
          </cell>
          <cell r="BB424">
            <v>1</v>
          </cell>
          <cell r="BC424">
            <v>1</v>
          </cell>
          <cell r="BD424">
            <v>6</v>
          </cell>
          <cell r="BE424">
            <v>3</v>
          </cell>
          <cell r="BF424">
            <v>2</v>
          </cell>
          <cell r="BG424">
            <v>0</v>
          </cell>
          <cell r="BH424">
            <v>0</v>
          </cell>
          <cell r="BI424">
            <v>4</v>
          </cell>
        </row>
        <row r="425">
          <cell r="C425" t="str">
            <v>Đinh Thị Thu Hương</v>
          </cell>
          <cell r="D425">
            <v>1407</v>
          </cell>
          <cell r="E425" t="str">
            <v>Phó Trưởng bộ môn</v>
          </cell>
          <cell r="G425">
            <v>1</v>
          </cell>
          <cell r="H425">
            <v>1</v>
          </cell>
          <cell r="L425">
            <v>1</v>
          </cell>
          <cell r="N425">
            <v>1</v>
          </cell>
          <cell r="P425">
            <v>1</v>
          </cell>
          <cell r="U425">
            <v>1</v>
          </cell>
          <cell r="W425">
            <v>1</v>
          </cell>
          <cell r="AB425">
            <v>1</v>
          </cell>
          <cell r="AC425">
            <v>1</v>
          </cell>
          <cell r="AG425">
            <v>1</v>
          </cell>
          <cell r="AI425">
            <v>1</v>
          </cell>
          <cell r="AJ425">
            <v>1</v>
          </cell>
          <cell r="AN425">
            <v>1</v>
          </cell>
          <cell r="AP425">
            <v>1</v>
          </cell>
          <cell r="AQ425">
            <v>1</v>
          </cell>
          <cell r="AU425">
            <v>1</v>
          </cell>
          <cell r="AW425">
            <v>1</v>
          </cell>
          <cell r="AY425">
            <v>1</v>
          </cell>
          <cell r="BC425">
            <v>0</v>
          </cell>
          <cell r="BD425">
            <v>6</v>
          </cell>
          <cell r="BE425">
            <v>3</v>
          </cell>
          <cell r="BF425">
            <v>3</v>
          </cell>
          <cell r="BG425">
            <v>0</v>
          </cell>
          <cell r="BH425">
            <v>0</v>
          </cell>
          <cell r="BI425">
            <v>3</v>
          </cell>
        </row>
        <row r="426">
          <cell r="C426" t="str">
            <v>Nguyễn Thị Thu Trang</v>
          </cell>
          <cell r="D426">
            <v>1408</v>
          </cell>
          <cell r="G426">
            <v>1</v>
          </cell>
          <cell r="H426">
            <v>1</v>
          </cell>
          <cell r="L426">
            <v>1</v>
          </cell>
          <cell r="N426">
            <v>1</v>
          </cell>
          <cell r="O426">
            <v>1</v>
          </cell>
          <cell r="S426">
            <v>1</v>
          </cell>
          <cell r="U426">
            <v>1</v>
          </cell>
          <cell r="V426">
            <v>1</v>
          </cell>
          <cell r="Z426">
            <v>1</v>
          </cell>
          <cell r="AB426">
            <v>1</v>
          </cell>
          <cell r="AD426">
            <v>1</v>
          </cell>
          <cell r="AI426">
            <v>1</v>
          </cell>
          <cell r="AJ426">
            <v>1</v>
          </cell>
          <cell r="AN426">
            <v>1</v>
          </cell>
          <cell r="AP426">
            <v>1</v>
          </cell>
          <cell r="AQ426">
            <v>1</v>
          </cell>
          <cell r="AU426">
            <v>1</v>
          </cell>
          <cell r="AW426">
            <v>1</v>
          </cell>
          <cell r="AX426">
            <v>1</v>
          </cell>
          <cell r="BB426">
            <v>1</v>
          </cell>
          <cell r="BC426">
            <v>0</v>
          </cell>
          <cell r="BD426">
            <v>6</v>
          </cell>
          <cell r="BE426">
            <v>5</v>
          </cell>
          <cell r="BF426">
            <v>1</v>
          </cell>
          <cell r="BG426">
            <v>0</v>
          </cell>
          <cell r="BH426">
            <v>0</v>
          </cell>
          <cell r="BI426">
            <v>5</v>
          </cell>
        </row>
        <row r="427">
          <cell r="C427" t="str">
            <v>Nguyễn Thị Nguyệt Nga</v>
          </cell>
          <cell r="D427">
            <v>1409</v>
          </cell>
          <cell r="G427">
            <v>1</v>
          </cell>
          <cell r="I427">
            <v>1</v>
          </cell>
          <cell r="N427">
            <v>1</v>
          </cell>
          <cell r="P427">
            <v>1</v>
          </cell>
          <cell r="U427">
            <v>1</v>
          </cell>
          <cell r="W427">
            <v>1</v>
          </cell>
          <cell r="AE427">
            <v>1</v>
          </cell>
          <cell r="AI427">
            <v>1</v>
          </cell>
          <cell r="AJ427">
            <v>1</v>
          </cell>
          <cell r="AN427">
            <v>1</v>
          </cell>
          <cell r="AP427">
            <v>1</v>
          </cell>
          <cell r="AQ427">
            <v>1</v>
          </cell>
          <cell r="AU427">
            <v>1</v>
          </cell>
          <cell r="AW427">
            <v>1</v>
          </cell>
          <cell r="AY427">
            <v>1</v>
          </cell>
          <cell r="BC427">
            <v>0</v>
          </cell>
          <cell r="BD427">
            <v>5</v>
          </cell>
          <cell r="BE427">
            <v>2</v>
          </cell>
          <cell r="BF427">
            <v>3</v>
          </cell>
          <cell r="BG427">
            <v>1</v>
          </cell>
          <cell r="BH427">
            <v>0</v>
          </cell>
          <cell r="BI427">
            <v>2</v>
          </cell>
        </row>
        <row r="428">
          <cell r="C428" t="str">
            <v>Nguyễn Thị Minh Ngọc</v>
          </cell>
          <cell r="D428">
            <v>1410</v>
          </cell>
          <cell r="E428" t="str">
            <v>CUV</v>
          </cell>
          <cell r="G428">
            <v>1</v>
          </cell>
          <cell r="H428">
            <v>1</v>
          </cell>
          <cell r="L428">
            <v>1</v>
          </cell>
          <cell r="N428">
            <v>1</v>
          </cell>
          <cell r="P428">
            <v>1</v>
          </cell>
          <cell r="U428">
            <v>1</v>
          </cell>
          <cell r="W428">
            <v>1</v>
          </cell>
          <cell r="AB428">
            <v>1</v>
          </cell>
          <cell r="AC428">
            <v>1</v>
          </cell>
          <cell r="AG428">
            <v>1</v>
          </cell>
          <cell r="AI428">
            <v>1</v>
          </cell>
          <cell r="AJ428">
            <v>1</v>
          </cell>
          <cell r="AN428">
            <v>1</v>
          </cell>
          <cell r="AP428">
            <v>1</v>
          </cell>
          <cell r="AQ428">
            <v>1</v>
          </cell>
          <cell r="AU428">
            <v>1</v>
          </cell>
          <cell r="AW428">
            <v>1</v>
          </cell>
          <cell r="AY428">
            <v>1</v>
          </cell>
          <cell r="BC428">
            <v>0</v>
          </cell>
          <cell r="BD428">
            <v>6</v>
          </cell>
          <cell r="BE428">
            <v>3</v>
          </cell>
          <cell r="BF428">
            <v>3</v>
          </cell>
          <cell r="BG428">
            <v>0</v>
          </cell>
          <cell r="BH428">
            <v>0</v>
          </cell>
          <cell r="BI428">
            <v>3</v>
          </cell>
        </row>
        <row r="429">
          <cell r="C429" t="str">
            <v>Nguyễn Châu Giang</v>
          </cell>
          <cell r="D429">
            <v>1412</v>
          </cell>
          <cell r="G429">
            <v>1</v>
          </cell>
          <cell r="H429">
            <v>1</v>
          </cell>
          <cell r="L429">
            <v>1</v>
          </cell>
          <cell r="N429">
            <v>1</v>
          </cell>
          <cell r="O429">
            <v>1</v>
          </cell>
          <cell r="S429">
            <v>1</v>
          </cell>
          <cell r="U429">
            <v>1</v>
          </cell>
          <cell r="W429">
            <v>1</v>
          </cell>
          <cell r="AB429">
            <v>1</v>
          </cell>
          <cell r="AC429">
            <v>1</v>
          </cell>
          <cell r="AG429">
            <v>1</v>
          </cell>
          <cell r="AI429">
            <v>1</v>
          </cell>
          <cell r="AJ429">
            <v>1</v>
          </cell>
          <cell r="AN429">
            <v>1</v>
          </cell>
          <cell r="AP429">
            <v>1</v>
          </cell>
          <cell r="AW429">
            <v>1</v>
          </cell>
          <cell r="AY429">
            <v>1</v>
          </cell>
          <cell r="BC429">
            <v>0</v>
          </cell>
          <cell r="BD429">
            <v>6</v>
          </cell>
          <cell r="BE429">
            <v>3</v>
          </cell>
          <cell r="BF429">
            <v>2</v>
          </cell>
          <cell r="BG429">
            <v>0</v>
          </cell>
          <cell r="BH429">
            <v>0</v>
          </cell>
          <cell r="BI429">
            <v>3</v>
          </cell>
        </row>
        <row r="430">
          <cell r="C430" t="str">
            <v>Nguyễn Thùy Vân</v>
          </cell>
          <cell r="D430">
            <v>1413</v>
          </cell>
          <cell r="G430">
            <v>1</v>
          </cell>
          <cell r="H430">
            <v>1</v>
          </cell>
          <cell r="L430">
            <v>1</v>
          </cell>
          <cell r="N430">
            <v>1</v>
          </cell>
          <cell r="O430">
            <v>1</v>
          </cell>
          <cell r="S430">
            <v>1</v>
          </cell>
          <cell r="U430">
            <v>1</v>
          </cell>
          <cell r="W430">
            <v>1</v>
          </cell>
          <cell r="AB430">
            <v>1</v>
          </cell>
          <cell r="AC430">
            <v>1</v>
          </cell>
          <cell r="AG430">
            <v>1</v>
          </cell>
          <cell r="AI430">
            <v>1</v>
          </cell>
          <cell r="AJ430">
            <v>1</v>
          </cell>
          <cell r="AN430">
            <v>1</v>
          </cell>
          <cell r="AP430">
            <v>1</v>
          </cell>
          <cell r="AW430">
            <v>1</v>
          </cell>
          <cell r="AY430">
            <v>1</v>
          </cell>
          <cell r="BC430">
            <v>0</v>
          </cell>
          <cell r="BD430">
            <v>6</v>
          </cell>
          <cell r="BE430">
            <v>3</v>
          </cell>
          <cell r="BF430">
            <v>2</v>
          </cell>
          <cell r="BG430">
            <v>0</v>
          </cell>
          <cell r="BH430">
            <v>0</v>
          </cell>
          <cell r="BI430">
            <v>3</v>
          </cell>
        </row>
        <row r="431">
          <cell r="C431" t="str">
            <v>Nguyễn Phương Thùy</v>
          </cell>
          <cell r="D431">
            <v>1414</v>
          </cell>
          <cell r="G431">
            <v>1</v>
          </cell>
          <cell r="I431">
            <v>1</v>
          </cell>
          <cell r="N431">
            <v>1</v>
          </cell>
          <cell r="P431">
            <v>1</v>
          </cell>
          <cell r="U431">
            <v>1</v>
          </cell>
          <cell r="V431">
            <v>1</v>
          </cell>
          <cell r="Z431">
            <v>1</v>
          </cell>
          <cell r="AB431">
            <v>1</v>
          </cell>
          <cell r="AD431">
            <v>1</v>
          </cell>
          <cell r="AI431">
            <v>1</v>
          </cell>
          <cell r="AJ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U431">
            <v>1</v>
          </cell>
          <cell r="AV431">
            <v>1</v>
          </cell>
          <cell r="AW431">
            <v>1</v>
          </cell>
          <cell r="AY431">
            <v>1</v>
          </cell>
          <cell r="BB431">
            <v>1</v>
          </cell>
          <cell r="BC431">
            <v>2</v>
          </cell>
          <cell r="BD431">
            <v>6</v>
          </cell>
          <cell r="BE431">
            <v>3</v>
          </cell>
          <cell r="BF431">
            <v>3</v>
          </cell>
          <cell r="BG431">
            <v>0</v>
          </cell>
          <cell r="BH431">
            <v>0</v>
          </cell>
          <cell r="BI431">
            <v>4</v>
          </cell>
        </row>
        <row r="432">
          <cell r="C432" t="str">
            <v>Phạm Thùy Dương</v>
          </cell>
          <cell r="D432">
            <v>1415</v>
          </cell>
          <cell r="G432">
            <v>1</v>
          </cell>
          <cell r="I432">
            <v>1</v>
          </cell>
          <cell r="N432">
            <v>1</v>
          </cell>
          <cell r="O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Z432">
            <v>1</v>
          </cell>
          <cell r="AA432">
            <v>1</v>
          </cell>
          <cell r="AB432">
            <v>1</v>
          </cell>
          <cell r="AC432">
            <v>1</v>
          </cell>
          <cell r="AG432">
            <v>1</v>
          </cell>
          <cell r="AI432">
            <v>1</v>
          </cell>
          <cell r="AJ432">
            <v>1</v>
          </cell>
          <cell r="AN432">
            <v>1</v>
          </cell>
          <cell r="AP432">
            <v>1</v>
          </cell>
          <cell r="AV432">
            <v>1</v>
          </cell>
          <cell r="AW432">
            <v>1</v>
          </cell>
          <cell r="AY432">
            <v>1</v>
          </cell>
          <cell r="BB432">
            <v>1</v>
          </cell>
          <cell r="BC432">
            <v>3</v>
          </cell>
          <cell r="BD432">
            <v>6</v>
          </cell>
          <cell r="BE432">
            <v>4</v>
          </cell>
          <cell r="BF432">
            <v>1</v>
          </cell>
          <cell r="BG432">
            <v>0</v>
          </cell>
          <cell r="BH432">
            <v>0</v>
          </cell>
          <cell r="BI432">
            <v>5</v>
          </cell>
        </row>
        <row r="433">
          <cell r="C433" t="str">
            <v>Tạ Thị Ngọc Bích</v>
          </cell>
          <cell r="D433">
            <v>1728</v>
          </cell>
          <cell r="G433">
            <v>1</v>
          </cell>
          <cell r="H433">
            <v>1</v>
          </cell>
          <cell r="L433">
            <v>1</v>
          </cell>
          <cell r="N433">
            <v>1</v>
          </cell>
          <cell r="P433">
            <v>1</v>
          </cell>
          <cell r="U433">
            <v>1</v>
          </cell>
          <cell r="W433">
            <v>1</v>
          </cell>
          <cell r="AB433">
            <v>1</v>
          </cell>
          <cell r="AD433">
            <v>1</v>
          </cell>
          <cell r="AI433">
            <v>1</v>
          </cell>
          <cell r="AK433">
            <v>1</v>
          </cell>
          <cell r="AP433">
            <v>1</v>
          </cell>
          <cell r="AW433">
            <v>1</v>
          </cell>
          <cell r="AX433">
            <v>1</v>
          </cell>
          <cell r="BB433">
            <v>1</v>
          </cell>
          <cell r="BC433">
            <v>0</v>
          </cell>
          <cell r="BD433">
            <v>5</v>
          </cell>
          <cell r="BE433">
            <v>1</v>
          </cell>
          <cell r="BF433">
            <v>3</v>
          </cell>
          <cell r="BG433">
            <v>0</v>
          </cell>
          <cell r="BH433">
            <v>0</v>
          </cell>
          <cell r="BI433">
            <v>1</v>
          </cell>
        </row>
        <row r="434">
          <cell r="C434" t="str">
            <v>Nguyễn Thị Xuân</v>
          </cell>
          <cell r="D434">
            <v>1416</v>
          </cell>
          <cell r="E434" t="str">
            <v>BTCĐ</v>
          </cell>
          <cell r="G434">
            <v>1</v>
          </cell>
          <cell r="I434">
            <v>1</v>
          </cell>
          <cell r="N434">
            <v>1</v>
          </cell>
          <cell r="P434">
            <v>1</v>
          </cell>
          <cell r="T434">
            <v>1</v>
          </cell>
          <cell r="U434">
            <v>1</v>
          </cell>
          <cell r="V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G434">
            <v>1</v>
          </cell>
          <cell r="AI434">
            <v>1</v>
          </cell>
          <cell r="AJ434">
            <v>1</v>
          </cell>
          <cell r="AN434">
            <v>1</v>
          </cell>
          <cell r="AP434">
            <v>1</v>
          </cell>
          <cell r="AQ434">
            <v>1</v>
          </cell>
          <cell r="AU434">
            <v>1</v>
          </cell>
          <cell r="AV434">
            <v>1</v>
          </cell>
          <cell r="AW434">
            <v>1</v>
          </cell>
          <cell r="AY434">
            <v>1</v>
          </cell>
          <cell r="BB434">
            <v>1</v>
          </cell>
          <cell r="BC434">
            <v>3</v>
          </cell>
          <cell r="BD434">
            <v>6</v>
          </cell>
          <cell r="BE434">
            <v>4</v>
          </cell>
          <cell r="BF434">
            <v>2</v>
          </cell>
          <cell r="BG434">
            <v>0</v>
          </cell>
          <cell r="BH434">
            <v>0</v>
          </cell>
          <cell r="BI434">
            <v>5</v>
          </cell>
        </row>
        <row r="435">
          <cell r="C435" t="str">
            <v>Vũ Thanh Hương</v>
          </cell>
          <cell r="D435">
            <v>1774</v>
          </cell>
          <cell r="AW435">
            <v>1</v>
          </cell>
          <cell r="AY435">
            <v>1</v>
          </cell>
          <cell r="BC435">
            <v>0</v>
          </cell>
          <cell r="BD435">
            <v>1</v>
          </cell>
          <cell r="BE435">
            <v>0</v>
          </cell>
          <cell r="BF435">
            <v>1</v>
          </cell>
          <cell r="BG435">
            <v>0</v>
          </cell>
          <cell r="BH435">
            <v>0</v>
          </cell>
          <cell r="BI435">
            <v>0</v>
          </cell>
        </row>
        <row r="436">
          <cell r="C436" t="str">
            <v>Vũ Thị Huế</v>
          </cell>
          <cell r="D436">
            <v>1775</v>
          </cell>
          <cell r="AW436">
            <v>1</v>
          </cell>
          <cell r="AY436">
            <v>1</v>
          </cell>
          <cell r="BC436">
            <v>0</v>
          </cell>
          <cell r="BD436">
            <v>1</v>
          </cell>
          <cell r="BE436">
            <v>0</v>
          </cell>
          <cell r="BF436">
            <v>1</v>
          </cell>
          <cell r="BG436">
            <v>0</v>
          </cell>
          <cell r="BH436">
            <v>0</v>
          </cell>
          <cell r="BI436">
            <v>0</v>
          </cell>
        </row>
        <row r="437">
          <cell r="C437" t="str">
            <v>Phạm Hữu Khương</v>
          </cell>
          <cell r="D437">
            <v>1789</v>
          </cell>
          <cell r="AW437">
            <v>1</v>
          </cell>
          <cell r="AY437">
            <v>1</v>
          </cell>
          <cell r="BC437">
            <v>0</v>
          </cell>
          <cell r="BD437">
            <v>1</v>
          </cell>
          <cell r="BE437">
            <v>0</v>
          </cell>
          <cell r="BF437">
            <v>1</v>
          </cell>
          <cell r="BG437">
            <v>0</v>
          </cell>
          <cell r="BH437">
            <v>0</v>
          </cell>
          <cell r="BI437">
            <v>0</v>
          </cell>
        </row>
        <row r="438">
          <cell r="C438" t="str">
            <v>Trần Văn Trang</v>
          </cell>
          <cell r="D438">
            <v>1417</v>
          </cell>
          <cell r="E438" t="str">
            <v>Trưởng khoa</v>
          </cell>
          <cell r="F438">
            <v>1</v>
          </cell>
          <cell r="G438">
            <v>1</v>
          </cell>
          <cell r="H438">
            <v>1</v>
          </cell>
          <cell r="L438">
            <v>1</v>
          </cell>
          <cell r="M438">
            <v>1</v>
          </cell>
          <cell r="N438">
            <v>1</v>
          </cell>
          <cell r="O438">
            <v>1</v>
          </cell>
          <cell r="S438">
            <v>1</v>
          </cell>
          <cell r="T438">
            <v>1</v>
          </cell>
          <cell r="U438">
            <v>1</v>
          </cell>
          <cell r="V438">
            <v>1</v>
          </cell>
          <cell r="Z438">
            <v>1</v>
          </cell>
          <cell r="AA438">
            <v>1</v>
          </cell>
          <cell r="AB438">
            <v>1</v>
          </cell>
          <cell r="AC438">
            <v>1</v>
          </cell>
          <cell r="AG438">
            <v>1</v>
          </cell>
          <cell r="AI438">
            <v>1</v>
          </cell>
          <cell r="AJ438">
            <v>1</v>
          </cell>
          <cell r="AN438">
            <v>1</v>
          </cell>
          <cell r="AO438">
            <v>1</v>
          </cell>
          <cell r="AP438">
            <v>1</v>
          </cell>
          <cell r="AQ438">
            <v>1</v>
          </cell>
          <cell r="AU438">
            <v>1</v>
          </cell>
          <cell r="AV438">
            <v>1</v>
          </cell>
          <cell r="AW438">
            <v>1</v>
          </cell>
          <cell r="AY438">
            <v>1</v>
          </cell>
          <cell r="BB438">
            <v>1</v>
          </cell>
          <cell r="BC438">
            <v>5</v>
          </cell>
          <cell r="BD438">
            <v>6</v>
          </cell>
          <cell r="BE438">
            <v>5</v>
          </cell>
          <cell r="BF438">
            <v>1</v>
          </cell>
          <cell r="BG438">
            <v>0</v>
          </cell>
          <cell r="BH438">
            <v>0</v>
          </cell>
          <cell r="BI438">
            <v>6</v>
          </cell>
        </row>
        <row r="439">
          <cell r="C439" t="str">
            <v>Nguyễn Thị Tú Quyên</v>
          </cell>
          <cell r="D439">
            <v>1418</v>
          </cell>
          <cell r="G439">
            <v>1</v>
          </cell>
          <cell r="I439">
            <v>1</v>
          </cell>
          <cell r="N439">
            <v>1</v>
          </cell>
          <cell r="O439">
            <v>1</v>
          </cell>
          <cell r="S439">
            <v>1</v>
          </cell>
          <cell r="U439">
            <v>1</v>
          </cell>
          <cell r="V439">
            <v>1</v>
          </cell>
          <cell r="Z439">
            <v>1</v>
          </cell>
          <cell r="AB439">
            <v>1</v>
          </cell>
          <cell r="AC439">
            <v>1</v>
          </cell>
          <cell r="AG439">
            <v>1</v>
          </cell>
          <cell r="AI439">
            <v>1</v>
          </cell>
          <cell r="AJ439">
            <v>1</v>
          </cell>
          <cell r="AN439">
            <v>1</v>
          </cell>
          <cell r="AP439">
            <v>1</v>
          </cell>
          <cell r="AQ439">
            <v>1</v>
          </cell>
          <cell r="AU439">
            <v>1</v>
          </cell>
          <cell r="AW439">
            <v>1</v>
          </cell>
          <cell r="AY439">
            <v>1</v>
          </cell>
          <cell r="BC439">
            <v>0</v>
          </cell>
          <cell r="BD439">
            <v>6</v>
          </cell>
          <cell r="BE439">
            <v>5</v>
          </cell>
          <cell r="BF439">
            <v>1</v>
          </cell>
          <cell r="BG439">
            <v>0</v>
          </cell>
          <cell r="BH439">
            <v>0</v>
          </cell>
          <cell r="BI439">
            <v>5</v>
          </cell>
        </row>
        <row r="440">
          <cell r="C440" t="str">
            <v>Nguyễn Thị Liên</v>
          </cell>
          <cell r="D440">
            <v>1419</v>
          </cell>
          <cell r="E440" t="str">
            <v>Trưởng bộ môn, CUV</v>
          </cell>
          <cell r="G440">
            <v>1</v>
          </cell>
          <cell r="H440">
            <v>1</v>
          </cell>
          <cell r="L440">
            <v>1</v>
          </cell>
          <cell r="N440">
            <v>1</v>
          </cell>
          <cell r="O440">
            <v>1</v>
          </cell>
          <cell r="S440">
            <v>1</v>
          </cell>
          <cell r="U440">
            <v>1</v>
          </cell>
          <cell r="V440">
            <v>1</v>
          </cell>
          <cell r="Z440">
            <v>1</v>
          </cell>
          <cell r="AB440">
            <v>1</v>
          </cell>
          <cell r="AC440">
            <v>1</v>
          </cell>
          <cell r="AG440">
            <v>1</v>
          </cell>
          <cell r="AH440">
            <v>1</v>
          </cell>
          <cell r="AI440">
            <v>1</v>
          </cell>
          <cell r="AJ440">
            <v>1</v>
          </cell>
          <cell r="AN440">
            <v>1</v>
          </cell>
          <cell r="AO440">
            <v>1</v>
          </cell>
          <cell r="AP440">
            <v>1</v>
          </cell>
          <cell r="AQ440">
            <v>1</v>
          </cell>
          <cell r="AU440">
            <v>1</v>
          </cell>
          <cell r="AW440">
            <v>1</v>
          </cell>
          <cell r="AY440">
            <v>1</v>
          </cell>
          <cell r="BC440">
            <v>2</v>
          </cell>
          <cell r="BD440">
            <v>6</v>
          </cell>
          <cell r="BE440">
            <v>5</v>
          </cell>
          <cell r="BF440">
            <v>1</v>
          </cell>
          <cell r="BG440">
            <v>0</v>
          </cell>
          <cell r="BH440">
            <v>0</v>
          </cell>
          <cell r="BI440">
            <v>5</v>
          </cell>
        </row>
        <row r="441">
          <cell r="C441" t="str">
            <v>Bùi Thị Thu Hà</v>
          </cell>
          <cell r="D441">
            <v>1420</v>
          </cell>
          <cell r="E441" t="str">
            <v>Phó Trưởng bộ môn</v>
          </cell>
          <cell r="G441">
            <v>1</v>
          </cell>
          <cell r="I441">
            <v>1</v>
          </cell>
          <cell r="N441">
            <v>1</v>
          </cell>
          <cell r="O441">
            <v>1</v>
          </cell>
          <cell r="S441">
            <v>1</v>
          </cell>
          <cell r="U441">
            <v>1</v>
          </cell>
          <cell r="V441">
            <v>1</v>
          </cell>
          <cell r="Z441">
            <v>1</v>
          </cell>
          <cell r="AB441">
            <v>1</v>
          </cell>
          <cell r="AC441">
            <v>1</v>
          </cell>
          <cell r="AG441">
            <v>1</v>
          </cell>
          <cell r="AI441">
            <v>1</v>
          </cell>
          <cell r="AJ441">
            <v>1</v>
          </cell>
          <cell r="AN441">
            <v>1</v>
          </cell>
          <cell r="AP441">
            <v>1</v>
          </cell>
          <cell r="AQ441">
            <v>1</v>
          </cell>
          <cell r="AU441">
            <v>1</v>
          </cell>
          <cell r="AW441">
            <v>1</v>
          </cell>
          <cell r="AX441">
            <v>1</v>
          </cell>
          <cell r="BB441">
            <v>1</v>
          </cell>
          <cell r="BC441">
            <v>0</v>
          </cell>
          <cell r="BD441">
            <v>6</v>
          </cell>
          <cell r="BE441">
            <v>6</v>
          </cell>
          <cell r="BF441">
            <v>0</v>
          </cell>
          <cell r="BG441">
            <v>0</v>
          </cell>
          <cell r="BH441">
            <v>0</v>
          </cell>
          <cell r="BI441">
            <v>6</v>
          </cell>
        </row>
        <row r="442">
          <cell r="C442" t="str">
            <v>Vũ Thị Minh Xuân</v>
          </cell>
          <cell r="D442">
            <v>1421</v>
          </cell>
          <cell r="E442" t="str">
            <v>CTCĐ</v>
          </cell>
          <cell r="G442">
            <v>1</v>
          </cell>
          <cell r="I442">
            <v>1</v>
          </cell>
          <cell r="N442">
            <v>1</v>
          </cell>
          <cell r="P442">
            <v>1</v>
          </cell>
          <cell r="U442">
            <v>1</v>
          </cell>
          <cell r="V442">
            <v>1</v>
          </cell>
          <cell r="Z442">
            <v>1</v>
          </cell>
          <cell r="AB442">
            <v>1</v>
          </cell>
          <cell r="AC442">
            <v>1</v>
          </cell>
          <cell r="AG442">
            <v>1</v>
          </cell>
          <cell r="AI442">
            <v>1</v>
          </cell>
          <cell r="AJ442">
            <v>1</v>
          </cell>
          <cell r="AN442">
            <v>1</v>
          </cell>
          <cell r="AP442">
            <v>1</v>
          </cell>
          <cell r="AQ442">
            <v>1</v>
          </cell>
          <cell r="AU442">
            <v>1</v>
          </cell>
          <cell r="AW442">
            <v>1</v>
          </cell>
          <cell r="AY442">
            <v>1</v>
          </cell>
          <cell r="BC442">
            <v>0</v>
          </cell>
          <cell r="BD442">
            <v>6</v>
          </cell>
          <cell r="BE442">
            <v>4</v>
          </cell>
          <cell r="BF442">
            <v>2</v>
          </cell>
          <cell r="BG442">
            <v>0</v>
          </cell>
          <cell r="BH442">
            <v>0</v>
          </cell>
          <cell r="BI442">
            <v>4</v>
          </cell>
        </row>
        <row r="443">
          <cell r="C443" t="str">
            <v>Trịnh Minh Đức</v>
          </cell>
          <cell r="D443">
            <v>1422</v>
          </cell>
          <cell r="G443">
            <v>1</v>
          </cell>
          <cell r="I443">
            <v>1</v>
          </cell>
          <cell r="N443">
            <v>1</v>
          </cell>
          <cell r="P443">
            <v>1</v>
          </cell>
          <cell r="U443">
            <v>1</v>
          </cell>
          <cell r="V443">
            <v>1</v>
          </cell>
          <cell r="Z443">
            <v>1</v>
          </cell>
          <cell r="AB443">
            <v>1</v>
          </cell>
          <cell r="AC443">
            <v>1</v>
          </cell>
          <cell r="AG443">
            <v>1</v>
          </cell>
          <cell r="AI443">
            <v>1</v>
          </cell>
          <cell r="AJ443">
            <v>1</v>
          </cell>
          <cell r="AN443">
            <v>1</v>
          </cell>
          <cell r="AP443">
            <v>1</v>
          </cell>
          <cell r="AW443">
            <v>1</v>
          </cell>
          <cell r="AY443">
            <v>1</v>
          </cell>
          <cell r="BC443">
            <v>0</v>
          </cell>
          <cell r="BD443">
            <v>6</v>
          </cell>
          <cell r="BE443">
            <v>3</v>
          </cell>
          <cell r="BF443">
            <v>2</v>
          </cell>
          <cell r="BG443">
            <v>0</v>
          </cell>
          <cell r="BH443">
            <v>0</v>
          </cell>
          <cell r="BI443">
            <v>3</v>
          </cell>
        </row>
        <row r="444">
          <cell r="C444" t="str">
            <v>Ngô Thị Mai</v>
          </cell>
          <cell r="D444">
            <v>1423</v>
          </cell>
          <cell r="G444">
            <v>1</v>
          </cell>
          <cell r="H444">
            <v>1</v>
          </cell>
          <cell r="L444">
            <v>1</v>
          </cell>
          <cell r="N444">
            <v>1</v>
          </cell>
          <cell r="O444">
            <v>1</v>
          </cell>
          <cell r="S444">
            <v>1</v>
          </cell>
          <cell r="U444">
            <v>1</v>
          </cell>
          <cell r="W444">
            <v>1</v>
          </cell>
          <cell r="AB444">
            <v>1</v>
          </cell>
          <cell r="AC444">
            <v>1</v>
          </cell>
          <cell r="AG444">
            <v>1</v>
          </cell>
          <cell r="AI444">
            <v>1</v>
          </cell>
          <cell r="AJ444">
            <v>1</v>
          </cell>
          <cell r="AN444">
            <v>1</v>
          </cell>
          <cell r="AP444">
            <v>1</v>
          </cell>
          <cell r="AV444">
            <v>1</v>
          </cell>
          <cell r="AW444">
            <v>1</v>
          </cell>
          <cell r="AY444">
            <v>1</v>
          </cell>
          <cell r="BB444">
            <v>1</v>
          </cell>
          <cell r="BC444">
            <v>1</v>
          </cell>
          <cell r="BD444">
            <v>6</v>
          </cell>
          <cell r="BE444">
            <v>3</v>
          </cell>
          <cell r="BF444">
            <v>2</v>
          </cell>
          <cell r="BG444">
            <v>0</v>
          </cell>
          <cell r="BH444">
            <v>0</v>
          </cell>
          <cell r="BI444">
            <v>4</v>
          </cell>
        </row>
        <row r="445">
          <cell r="C445" t="str">
            <v>Lê Thị Khánh Huyền</v>
          </cell>
          <cell r="D445">
            <v>1426</v>
          </cell>
          <cell r="G445">
            <v>1</v>
          </cell>
          <cell r="I445">
            <v>1</v>
          </cell>
          <cell r="N445">
            <v>1</v>
          </cell>
          <cell r="P445">
            <v>1</v>
          </cell>
          <cell r="X445">
            <v>1</v>
          </cell>
          <cell r="AB445">
            <v>1</v>
          </cell>
          <cell r="AD445">
            <v>1</v>
          </cell>
          <cell r="AI445">
            <v>1</v>
          </cell>
          <cell r="AJ445">
            <v>1</v>
          </cell>
          <cell r="AN445">
            <v>1</v>
          </cell>
          <cell r="AP445">
            <v>1</v>
          </cell>
          <cell r="AW445">
            <v>1</v>
          </cell>
          <cell r="AY445">
            <v>1</v>
          </cell>
          <cell r="BC445">
            <v>0</v>
          </cell>
          <cell r="BD445">
            <v>5</v>
          </cell>
          <cell r="BE445">
            <v>1</v>
          </cell>
          <cell r="BF445">
            <v>3</v>
          </cell>
          <cell r="BG445">
            <v>1</v>
          </cell>
          <cell r="BH445">
            <v>0</v>
          </cell>
          <cell r="BI445">
            <v>1</v>
          </cell>
        </row>
        <row r="446">
          <cell r="C446" t="str">
            <v>Lại Quang Huy</v>
          </cell>
          <cell r="D446">
            <v>1427</v>
          </cell>
          <cell r="E446" t="str">
            <v>BTCĐ</v>
          </cell>
          <cell r="I446">
            <v>1</v>
          </cell>
          <cell r="N446">
            <v>1</v>
          </cell>
          <cell r="O446">
            <v>1</v>
          </cell>
          <cell r="S446">
            <v>1</v>
          </cell>
          <cell r="U446">
            <v>1</v>
          </cell>
          <cell r="V446">
            <v>1</v>
          </cell>
          <cell r="Z446">
            <v>1</v>
          </cell>
          <cell r="AB446">
            <v>1</v>
          </cell>
          <cell r="AC446">
            <v>1</v>
          </cell>
          <cell r="AG446">
            <v>1</v>
          </cell>
          <cell r="AI446">
            <v>1</v>
          </cell>
          <cell r="AJ446">
            <v>1</v>
          </cell>
          <cell r="AN446">
            <v>1</v>
          </cell>
          <cell r="AP446">
            <v>1</v>
          </cell>
          <cell r="AV446">
            <v>1</v>
          </cell>
          <cell r="AW446">
            <v>1</v>
          </cell>
          <cell r="AY446">
            <v>1</v>
          </cell>
          <cell r="BB446">
            <v>1</v>
          </cell>
          <cell r="BC446">
            <v>1</v>
          </cell>
          <cell r="BD446">
            <v>6</v>
          </cell>
          <cell r="BE446">
            <v>4</v>
          </cell>
          <cell r="BF446">
            <v>1</v>
          </cell>
          <cell r="BG446">
            <v>0</v>
          </cell>
          <cell r="BH446">
            <v>0</v>
          </cell>
          <cell r="BI446">
            <v>5</v>
          </cell>
        </row>
        <row r="447">
          <cell r="C447" t="str">
            <v>Lê Thị Hiền</v>
          </cell>
          <cell r="D447">
            <v>1428</v>
          </cell>
          <cell r="AB447">
            <v>1</v>
          </cell>
          <cell r="AD447">
            <v>1</v>
          </cell>
          <cell r="AI447">
            <v>1</v>
          </cell>
          <cell r="AJ447">
            <v>1</v>
          </cell>
          <cell r="AN447">
            <v>1</v>
          </cell>
          <cell r="AP447">
            <v>1</v>
          </cell>
          <cell r="AQ447">
            <v>1</v>
          </cell>
          <cell r="AU447">
            <v>1</v>
          </cell>
          <cell r="AW447">
            <v>1</v>
          </cell>
          <cell r="AY447">
            <v>1</v>
          </cell>
          <cell r="BC447">
            <v>0</v>
          </cell>
          <cell r="BD447">
            <v>4</v>
          </cell>
          <cell r="BE447">
            <v>2</v>
          </cell>
          <cell r="BF447">
            <v>2</v>
          </cell>
          <cell r="BG447">
            <v>0</v>
          </cell>
          <cell r="BH447">
            <v>0</v>
          </cell>
          <cell r="BI447">
            <v>2</v>
          </cell>
        </row>
        <row r="448">
          <cell r="C448" t="str">
            <v>Đoàn Huy Hoàng</v>
          </cell>
          <cell r="D448">
            <v>1429</v>
          </cell>
          <cell r="AB448">
            <v>1</v>
          </cell>
          <cell r="AD448">
            <v>1</v>
          </cell>
          <cell r="AI448">
            <v>1</v>
          </cell>
          <cell r="AK448">
            <v>1</v>
          </cell>
          <cell r="AP448">
            <v>1</v>
          </cell>
          <cell r="AW448">
            <v>1</v>
          </cell>
          <cell r="AY448">
            <v>1</v>
          </cell>
          <cell r="BC448">
            <v>0</v>
          </cell>
          <cell r="BD448">
            <v>4</v>
          </cell>
          <cell r="BE448">
            <v>0</v>
          </cell>
          <cell r="BF448">
            <v>3</v>
          </cell>
          <cell r="BG448">
            <v>0</v>
          </cell>
          <cell r="BH448">
            <v>0</v>
          </cell>
          <cell r="BI448">
            <v>0</v>
          </cell>
        </row>
        <row r="449">
          <cell r="C449" t="str">
            <v>Bùi Khánh Linh</v>
          </cell>
          <cell r="D449">
            <v>1430</v>
          </cell>
          <cell r="AP449">
            <v>1</v>
          </cell>
          <cell r="AW449">
            <v>1</v>
          </cell>
          <cell r="AX449">
            <v>1</v>
          </cell>
          <cell r="BB449">
            <v>1</v>
          </cell>
          <cell r="BC449">
            <v>0</v>
          </cell>
          <cell r="BD449">
            <v>2</v>
          </cell>
          <cell r="BE449">
            <v>1</v>
          </cell>
          <cell r="BF449">
            <v>0</v>
          </cell>
          <cell r="BG449">
            <v>0</v>
          </cell>
          <cell r="BH449">
            <v>0</v>
          </cell>
          <cell r="BI449">
            <v>1</v>
          </cell>
        </row>
        <row r="450">
          <cell r="C450" t="str">
            <v>Hòa Thị Tươi</v>
          </cell>
          <cell r="D450">
            <v>1757</v>
          </cell>
          <cell r="AE450">
            <v>1</v>
          </cell>
          <cell r="AI450">
            <v>1</v>
          </cell>
          <cell r="AK450">
            <v>1</v>
          </cell>
          <cell r="AW450">
            <v>1</v>
          </cell>
          <cell r="AY450">
            <v>1</v>
          </cell>
          <cell r="BC450">
            <v>0</v>
          </cell>
          <cell r="BD450">
            <v>2</v>
          </cell>
          <cell r="BE450">
            <v>0</v>
          </cell>
          <cell r="BF450">
            <v>2</v>
          </cell>
          <cell r="BG450">
            <v>1</v>
          </cell>
          <cell r="BH450">
            <v>0</v>
          </cell>
          <cell r="BI450">
            <v>0</v>
          </cell>
        </row>
        <row r="451">
          <cell r="C451" t="str">
            <v>Đinh Thị Hương</v>
          </cell>
          <cell r="D451">
            <v>1431</v>
          </cell>
          <cell r="E451" t="str">
            <v>Trưởng bộ môn, PBTCB 
phụ trách</v>
          </cell>
          <cell r="G451">
            <v>1</v>
          </cell>
          <cell r="I451">
            <v>1</v>
          </cell>
          <cell r="N451">
            <v>1</v>
          </cell>
          <cell r="O451">
            <v>1</v>
          </cell>
          <cell r="S451">
            <v>1</v>
          </cell>
          <cell r="T451">
            <v>1</v>
          </cell>
          <cell r="U451">
            <v>1</v>
          </cell>
          <cell r="V451">
            <v>1</v>
          </cell>
          <cell r="Z451">
            <v>1</v>
          </cell>
          <cell r="AA451">
            <v>1</v>
          </cell>
          <cell r="AB451">
            <v>1</v>
          </cell>
          <cell r="AC451">
            <v>1</v>
          </cell>
          <cell r="AG451">
            <v>1</v>
          </cell>
          <cell r="AH451">
            <v>1</v>
          </cell>
          <cell r="AI451">
            <v>1</v>
          </cell>
          <cell r="AJ451">
            <v>1</v>
          </cell>
          <cell r="AN451">
            <v>1</v>
          </cell>
          <cell r="AP451">
            <v>1</v>
          </cell>
          <cell r="AW451">
            <v>1</v>
          </cell>
          <cell r="AY451">
            <v>1</v>
          </cell>
          <cell r="BC451">
            <v>3</v>
          </cell>
          <cell r="BD451">
            <v>6</v>
          </cell>
          <cell r="BE451">
            <v>4</v>
          </cell>
          <cell r="BF451">
            <v>1</v>
          </cell>
          <cell r="BG451">
            <v>0</v>
          </cell>
          <cell r="BH451">
            <v>0</v>
          </cell>
          <cell r="BI451">
            <v>4</v>
          </cell>
        </row>
        <row r="452">
          <cell r="C452" t="str">
            <v>Kiều Quốc Hoàn</v>
          </cell>
          <cell r="D452">
            <v>1432</v>
          </cell>
          <cell r="N452">
            <v>1</v>
          </cell>
          <cell r="P452">
            <v>1</v>
          </cell>
          <cell r="U452">
            <v>1</v>
          </cell>
          <cell r="W452">
            <v>1</v>
          </cell>
          <cell r="AB452">
            <v>1</v>
          </cell>
          <cell r="AD452">
            <v>1</v>
          </cell>
          <cell r="AI452">
            <v>1</v>
          </cell>
          <cell r="AJ452">
            <v>1</v>
          </cell>
          <cell r="AN452">
            <v>1</v>
          </cell>
          <cell r="AP452">
            <v>1</v>
          </cell>
          <cell r="AQ452">
            <v>1</v>
          </cell>
          <cell r="AU452">
            <v>1</v>
          </cell>
          <cell r="AW452">
            <v>1</v>
          </cell>
          <cell r="AY452">
            <v>1</v>
          </cell>
          <cell r="BC452">
            <v>0</v>
          </cell>
          <cell r="BD452">
            <v>6</v>
          </cell>
          <cell r="BE452">
            <v>2</v>
          </cell>
          <cell r="BF452">
            <v>4</v>
          </cell>
          <cell r="BG452">
            <v>0</v>
          </cell>
          <cell r="BH452">
            <v>0</v>
          </cell>
          <cell r="BI452">
            <v>2</v>
          </cell>
        </row>
        <row r="453">
          <cell r="C453" t="str">
            <v>Phạm Thị Thanh Hà</v>
          </cell>
          <cell r="D453">
            <v>1433</v>
          </cell>
          <cell r="E453" t="str">
            <v>Phó Trưởng khoa</v>
          </cell>
          <cell r="G453">
            <v>1</v>
          </cell>
          <cell r="I453">
            <v>1</v>
          </cell>
          <cell r="N453">
            <v>1</v>
          </cell>
          <cell r="P453">
            <v>1</v>
          </cell>
          <cell r="U453">
            <v>1</v>
          </cell>
          <cell r="W453">
            <v>1</v>
          </cell>
          <cell r="AB453">
            <v>1</v>
          </cell>
          <cell r="AD453">
            <v>1</v>
          </cell>
          <cell r="AI453">
            <v>1</v>
          </cell>
          <cell r="AJ453">
            <v>1</v>
          </cell>
          <cell r="AN453">
            <v>1</v>
          </cell>
          <cell r="AP453">
            <v>1</v>
          </cell>
          <cell r="AQ453">
            <v>1</v>
          </cell>
          <cell r="AU453">
            <v>1</v>
          </cell>
          <cell r="AW453">
            <v>1</v>
          </cell>
          <cell r="AY453">
            <v>1</v>
          </cell>
          <cell r="BC453">
            <v>0</v>
          </cell>
          <cell r="BD453">
            <v>6</v>
          </cell>
          <cell r="BE453">
            <v>2</v>
          </cell>
          <cell r="BF453">
            <v>4</v>
          </cell>
          <cell r="BG453">
            <v>0</v>
          </cell>
          <cell r="BH453">
            <v>0</v>
          </cell>
          <cell r="BI453">
            <v>2</v>
          </cell>
        </row>
        <row r="454">
          <cell r="C454" t="str">
            <v>Nguyễn Ngọc Anh</v>
          </cell>
          <cell r="D454">
            <v>1434</v>
          </cell>
          <cell r="U454">
            <v>1</v>
          </cell>
          <cell r="W454">
            <v>1</v>
          </cell>
          <cell r="AB454">
            <v>1</v>
          </cell>
          <cell r="AD454">
            <v>1</v>
          </cell>
          <cell r="AI454">
            <v>1</v>
          </cell>
          <cell r="AJ454">
            <v>1</v>
          </cell>
          <cell r="AN454">
            <v>1</v>
          </cell>
          <cell r="AP454">
            <v>1</v>
          </cell>
          <cell r="AV454">
            <v>1</v>
          </cell>
          <cell r="AW454">
            <v>1</v>
          </cell>
          <cell r="AY454">
            <v>1</v>
          </cell>
          <cell r="BB454">
            <v>1</v>
          </cell>
          <cell r="BC454">
            <v>1</v>
          </cell>
          <cell r="BD454">
            <v>5</v>
          </cell>
          <cell r="BE454">
            <v>1</v>
          </cell>
          <cell r="BF454">
            <v>3</v>
          </cell>
          <cell r="BG454">
            <v>0</v>
          </cell>
          <cell r="BH454">
            <v>0</v>
          </cell>
          <cell r="BI454">
            <v>2</v>
          </cell>
        </row>
        <row r="455">
          <cell r="C455" t="str">
            <v>Bùi Thị Kim Thoa</v>
          </cell>
          <cell r="D455">
            <v>1435</v>
          </cell>
          <cell r="U455">
            <v>1</v>
          </cell>
          <cell r="W455">
            <v>1</v>
          </cell>
          <cell r="AB455">
            <v>1</v>
          </cell>
          <cell r="AD455">
            <v>1</v>
          </cell>
          <cell r="AI455">
            <v>1</v>
          </cell>
          <cell r="AJ455">
            <v>1</v>
          </cell>
          <cell r="AN455">
            <v>1</v>
          </cell>
          <cell r="AP455">
            <v>1</v>
          </cell>
          <cell r="AW455">
            <v>1</v>
          </cell>
          <cell r="AY455">
            <v>1</v>
          </cell>
          <cell r="BC455">
            <v>0</v>
          </cell>
          <cell r="BD455">
            <v>5</v>
          </cell>
          <cell r="BE455">
            <v>1</v>
          </cell>
          <cell r="BF455">
            <v>3</v>
          </cell>
          <cell r="BG455">
            <v>0</v>
          </cell>
          <cell r="BH455">
            <v>0</v>
          </cell>
          <cell r="BI455">
            <v>1</v>
          </cell>
        </row>
        <row r="456">
          <cell r="C456" t="str">
            <v>Nguyễn Hồng Châu Linh</v>
          </cell>
          <cell r="D456">
            <v>1436</v>
          </cell>
          <cell r="AW456">
            <v>1</v>
          </cell>
          <cell r="AY456">
            <v>1</v>
          </cell>
          <cell r="BC456">
            <v>0</v>
          </cell>
          <cell r="BD456">
            <v>1</v>
          </cell>
          <cell r="BE456">
            <v>0</v>
          </cell>
          <cell r="BF456">
            <v>1</v>
          </cell>
          <cell r="BG456">
            <v>0</v>
          </cell>
          <cell r="BH456">
            <v>0</v>
          </cell>
          <cell r="BI456">
            <v>0</v>
          </cell>
        </row>
        <row r="457">
          <cell r="C457" t="str">
            <v>Phan Thanh Tùng</v>
          </cell>
          <cell r="D457">
            <v>1455</v>
          </cell>
          <cell r="E457" t="str">
            <v>Trưởng khoa, PBTCB
 (đang đi học )</v>
          </cell>
          <cell r="G457">
            <v>1</v>
          </cell>
          <cell r="H457">
            <v>1</v>
          </cell>
          <cell r="L457">
            <v>1</v>
          </cell>
          <cell r="N457">
            <v>1</v>
          </cell>
          <cell r="O457">
            <v>1</v>
          </cell>
          <cell r="S457">
            <v>1</v>
          </cell>
          <cell r="U457">
            <v>1</v>
          </cell>
          <cell r="W457">
            <v>1</v>
          </cell>
          <cell r="AB457">
            <v>1</v>
          </cell>
          <cell r="AC457">
            <v>1</v>
          </cell>
          <cell r="AG457">
            <v>1</v>
          </cell>
          <cell r="AI457">
            <v>1</v>
          </cell>
          <cell r="AJ457">
            <v>1</v>
          </cell>
          <cell r="AN457">
            <v>1</v>
          </cell>
          <cell r="AP457">
            <v>1</v>
          </cell>
          <cell r="AW457">
            <v>1</v>
          </cell>
          <cell r="AY457">
            <v>1</v>
          </cell>
          <cell r="BC457">
            <v>0</v>
          </cell>
          <cell r="BD457">
            <v>6</v>
          </cell>
          <cell r="BE457">
            <v>3</v>
          </cell>
          <cell r="BF457">
            <v>2</v>
          </cell>
          <cell r="BG457">
            <v>0</v>
          </cell>
          <cell r="BH457">
            <v>0</v>
          </cell>
          <cell r="BI457">
            <v>3</v>
          </cell>
        </row>
        <row r="458">
          <cell r="C458" t="str">
            <v>Vũ Thị Thu Hương</v>
          </cell>
          <cell r="D458">
            <v>1491</v>
          </cell>
          <cell r="E458" t="str">
            <v>Trưởng bộ môn</v>
          </cell>
          <cell r="F458">
            <v>1</v>
          </cell>
          <cell r="G458">
            <v>1</v>
          </cell>
          <cell r="H458">
            <v>1</v>
          </cell>
          <cell r="L458">
            <v>1</v>
          </cell>
          <cell r="M458">
            <v>1</v>
          </cell>
          <cell r="N458">
            <v>1</v>
          </cell>
          <cell r="O458">
            <v>1</v>
          </cell>
          <cell r="S458">
            <v>1</v>
          </cell>
          <cell r="T458">
            <v>1</v>
          </cell>
          <cell r="U458">
            <v>1</v>
          </cell>
          <cell r="V458">
            <v>1</v>
          </cell>
          <cell r="Z458">
            <v>1</v>
          </cell>
          <cell r="AB458">
            <v>1</v>
          </cell>
          <cell r="AC458">
            <v>1</v>
          </cell>
          <cell r="AG458">
            <v>1</v>
          </cell>
          <cell r="AI458">
            <v>1</v>
          </cell>
          <cell r="AJ458">
            <v>1</v>
          </cell>
          <cell r="AN458">
            <v>1</v>
          </cell>
          <cell r="AP458">
            <v>1</v>
          </cell>
          <cell r="AW458">
            <v>1</v>
          </cell>
          <cell r="AY458">
            <v>1</v>
          </cell>
          <cell r="BC458">
            <v>1</v>
          </cell>
          <cell r="BD458">
            <v>5</v>
          </cell>
          <cell r="BE458">
            <v>3</v>
          </cell>
          <cell r="BF458">
            <v>1</v>
          </cell>
          <cell r="BG458">
            <v>0</v>
          </cell>
          <cell r="BH458">
            <v>0</v>
          </cell>
          <cell r="BI458">
            <v>3</v>
          </cell>
        </row>
        <row r="459">
          <cell r="C459" t="str">
            <v>Lê Ngọc Cường</v>
          </cell>
          <cell r="D459">
            <v>1460</v>
          </cell>
          <cell r="E459" t="str">
            <v>BTCĐ</v>
          </cell>
          <cell r="G459">
            <v>1</v>
          </cell>
          <cell r="H459">
            <v>1</v>
          </cell>
          <cell r="L459">
            <v>1</v>
          </cell>
          <cell r="N459">
            <v>1</v>
          </cell>
          <cell r="O459">
            <v>1</v>
          </cell>
          <cell r="S459">
            <v>1</v>
          </cell>
          <cell r="U459">
            <v>1</v>
          </cell>
          <cell r="V459">
            <v>1</v>
          </cell>
          <cell r="Z459">
            <v>1</v>
          </cell>
          <cell r="AB459">
            <v>1</v>
          </cell>
          <cell r="AC459">
            <v>1</v>
          </cell>
          <cell r="AG459">
            <v>1</v>
          </cell>
          <cell r="AI459">
            <v>1</v>
          </cell>
          <cell r="AJ459">
            <v>1</v>
          </cell>
          <cell r="AN459">
            <v>1</v>
          </cell>
          <cell r="AP459">
            <v>1</v>
          </cell>
          <cell r="AW459">
            <v>1</v>
          </cell>
          <cell r="AY459">
            <v>1</v>
          </cell>
          <cell r="BC459">
            <v>0</v>
          </cell>
          <cell r="BD459">
            <v>6</v>
          </cell>
          <cell r="BE459">
            <v>4</v>
          </cell>
          <cell r="BF459">
            <v>1</v>
          </cell>
          <cell r="BG459">
            <v>0</v>
          </cell>
          <cell r="BH459">
            <v>0</v>
          </cell>
          <cell r="BI459">
            <v>4</v>
          </cell>
        </row>
        <row r="460">
          <cell r="C460" t="str">
            <v>Hoàng Thị Thu Hà</v>
          </cell>
          <cell r="D460">
            <v>1466</v>
          </cell>
          <cell r="G460">
            <v>1</v>
          </cell>
          <cell r="H460">
            <v>1</v>
          </cell>
          <cell r="L460">
            <v>1</v>
          </cell>
          <cell r="N460">
            <v>1</v>
          </cell>
          <cell r="O460">
            <v>1</v>
          </cell>
          <cell r="S460">
            <v>1</v>
          </cell>
          <cell r="U460">
            <v>1</v>
          </cell>
          <cell r="V460">
            <v>1</v>
          </cell>
          <cell r="Z460">
            <v>1</v>
          </cell>
          <cell r="AB460">
            <v>1</v>
          </cell>
          <cell r="AC460">
            <v>1</v>
          </cell>
          <cell r="AG460">
            <v>1</v>
          </cell>
          <cell r="AH460">
            <v>1</v>
          </cell>
          <cell r="AI460">
            <v>1</v>
          </cell>
          <cell r="AJ460">
            <v>1</v>
          </cell>
          <cell r="AN460">
            <v>1</v>
          </cell>
          <cell r="AP460">
            <v>1</v>
          </cell>
          <cell r="AQ460">
            <v>1</v>
          </cell>
          <cell r="AU460">
            <v>1</v>
          </cell>
          <cell r="AW460">
            <v>1</v>
          </cell>
          <cell r="AX460">
            <v>1</v>
          </cell>
          <cell r="BB460">
            <v>1</v>
          </cell>
          <cell r="BC460">
            <v>1</v>
          </cell>
          <cell r="BD460">
            <v>6</v>
          </cell>
          <cell r="BE460">
            <v>6</v>
          </cell>
          <cell r="BF460">
            <v>0</v>
          </cell>
          <cell r="BG460">
            <v>0</v>
          </cell>
          <cell r="BH460">
            <v>0</v>
          </cell>
          <cell r="BI460">
            <v>6</v>
          </cell>
        </row>
        <row r="461">
          <cell r="C461" t="str">
            <v>Nguyễn Thị Hiên</v>
          </cell>
          <cell r="D461">
            <v>1467</v>
          </cell>
          <cell r="E461" t="str">
            <v>CTCĐ</v>
          </cell>
          <cell r="G461">
            <v>1</v>
          </cell>
          <cell r="H461">
            <v>1</v>
          </cell>
          <cell r="L461">
            <v>1</v>
          </cell>
          <cell r="N461">
            <v>1</v>
          </cell>
          <cell r="O461">
            <v>1</v>
          </cell>
          <cell r="S461">
            <v>1</v>
          </cell>
          <cell r="U461">
            <v>1</v>
          </cell>
          <cell r="V461">
            <v>1</v>
          </cell>
          <cell r="Z461">
            <v>1</v>
          </cell>
          <cell r="AB461">
            <v>1</v>
          </cell>
          <cell r="AC461">
            <v>1</v>
          </cell>
          <cell r="AG461">
            <v>1</v>
          </cell>
          <cell r="AI461">
            <v>1</v>
          </cell>
          <cell r="AJ461">
            <v>1</v>
          </cell>
          <cell r="AN461">
            <v>1</v>
          </cell>
          <cell r="AO461">
            <v>1</v>
          </cell>
          <cell r="AP461">
            <v>1</v>
          </cell>
          <cell r="AQ461">
            <v>1</v>
          </cell>
          <cell r="AU461">
            <v>1</v>
          </cell>
          <cell r="AV461">
            <v>1</v>
          </cell>
          <cell r="AW461">
            <v>1</v>
          </cell>
          <cell r="AY461">
            <v>1</v>
          </cell>
          <cell r="BB461">
            <v>1</v>
          </cell>
          <cell r="BC461">
            <v>2</v>
          </cell>
          <cell r="BD461">
            <v>6</v>
          </cell>
          <cell r="BE461">
            <v>5</v>
          </cell>
          <cell r="BF461">
            <v>1</v>
          </cell>
          <cell r="BG461">
            <v>0</v>
          </cell>
          <cell r="BH461">
            <v>0</v>
          </cell>
          <cell r="BI461">
            <v>6</v>
          </cell>
        </row>
        <row r="462">
          <cell r="C462" t="str">
            <v>Mai Hải An</v>
          </cell>
          <cell r="D462">
            <v>1465</v>
          </cell>
          <cell r="G462">
            <v>1</v>
          </cell>
          <cell r="I462">
            <v>1</v>
          </cell>
          <cell r="N462">
            <v>1</v>
          </cell>
          <cell r="O462">
            <v>1</v>
          </cell>
          <cell r="S462">
            <v>1</v>
          </cell>
          <cell r="U462">
            <v>1</v>
          </cell>
          <cell r="V462">
            <v>1</v>
          </cell>
          <cell r="Z462">
            <v>1</v>
          </cell>
          <cell r="AB462">
            <v>1</v>
          </cell>
          <cell r="AC462">
            <v>1</v>
          </cell>
          <cell r="AG462">
            <v>1</v>
          </cell>
          <cell r="AI462">
            <v>1</v>
          </cell>
          <cell r="AJ462">
            <v>1</v>
          </cell>
          <cell r="AN462">
            <v>1</v>
          </cell>
          <cell r="AP462">
            <v>1</v>
          </cell>
          <cell r="AW462">
            <v>1</v>
          </cell>
          <cell r="AX462">
            <v>1</v>
          </cell>
          <cell r="BB462">
            <v>1</v>
          </cell>
          <cell r="BC462">
            <v>0</v>
          </cell>
          <cell r="BD462">
            <v>6</v>
          </cell>
          <cell r="BE462">
            <v>5</v>
          </cell>
          <cell r="BF462">
            <v>0</v>
          </cell>
          <cell r="BG462">
            <v>0</v>
          </cell>
          <cell r="BH462">
            <v>0</v>
          </cell>
          <cell r="BI462">
            <v>5</v>
          </cell>
        </row>
        <row r="463">
          <cell r="C463" t="str">
            <v>Nguyễn Thu Thủy</v>
          </cell>
          <cell r="D463">
            <v>1470</v>
          </cell>
          <cell r="AB463">
            <v>1</v>
          </cell>
          <cell r="AC463">
            <v>1</v>
          </cell>
          <cell r="AG463">
            <v>1</v>
          </cell>
          <cell r="AH463">
            <v>1</v>
          </cell>
          <cell r="AI463">
            <v>1</v>
          </cell>
          <cell r="AJ463">
            <v>1</v>
          </cell>
          <cell r="AN463">
            <v>1</v>
          </cell>
          <cell r="AP463">
            <v>1</v>
          </cell>
          <cell r="AQ463">
            <v>1</v>
          </cell>
          <cell r="AU463">
            <v>1</v>
          </cell>
          <cell r="AV463">
            <v>1</v>
          </cell>
          <cell r="AW463">
            <v>1</v>
          </cell>
          <cell r="AY463">
            <v>1</v>
          </cell>
          <cell r="BB463">
            <v>1</v>
          </cell>
          <cell r="BC463">
            <v>2</v>
          </cell>
          <cell r="BD463">
            <v>4</v>
          </cell>
          <cell r="BE463">
            <v>3</v>
          </cell>
          <cell r="BF463">
            <v>1</v>
          </cell>
          <cell r="BG463">
            <v>0</v>
          </cell>
          <cell r="BH463">
            <v>0</v>
          </cell>
          <cell r="BI463">
            <v>4</v>
          </cell>
        </row>
        <row r="464">
          <cell r="C464" t="str">
            <v>Ngô Duy Đô</v>
          </cell>
          <cell r="D464">
            <v>1463</v>
          </cell>
          <cell r="G464">
            <v>1</v>
          </cell>
          <cell r="I464">
            <v>1</v>
          </cell>
          <cell r="N464">
            <v>1</v>
          </cell>
          <cell r="O464">
            <v>1</v>
          </cell>
          <cell r="S464">
            <v>1</v>
          </cell>
          <cell r="U464">
            <v>1</v>
          </cell>
          <cell r="V464">
            <v>1</v>
          </cell>
          <cell r="Z464">
            <v>1</v>
          </cell>
          <cell r="AB464">
            <v>1</v>
          </cell>
          <cell r="AC464">
            <v>1</v>
          </cell>
          <cell r="AG464">
            <v>1</v>
          </cell>
          <cell r="AI464">
            <v>1</v>
          </cell>
          <cell r="AJ464">
            <v>1</v>
          </cell>
          <cell r="AN464">
            <v>1</v>
          </cell>
          <cell r="AP464">
            <v>1</v>
          </cell>
          <cell r="AW464">
            <v>1</v>
          </cell>
          <cell r="AY464">
            <v>1</v>
          </cell>
          <cell r="BC464">
            <v>0</v>
          </cell>
          <cell r="BD464">
            <v>6</v>
          </cell>
          <cell r="BE464">
            <v>4</v>
          </cell>
          <cell r="BF464">
            <v>1</v>
          </cell>
          <cell r="BG464">
            <v>0</v>
          </cell>
          <cell r="BH464">
            <v>0</v>
          </cell>
          <cell r="BI464">
            <v>4</v>
          </cell>
        </row>
        <row r="465">
          <cell r="C465" t="str">
            <v>Ngô Thị Ngoan</v>
          </cell>
          <cell r="D465">
            <v>1471</v>
          </cell>
          <cell r="G465">
            <v>1</v>
          </cell>
          <cell r="I465">
            <v>1</v>
          </cell>
          <cell r="N465">
            <v>1</v>
          </cell>
          <cell r="O465">
            <v>1</v>
          </cell>
          <cell r="S465">
            <v>1</v>
          </cell>
          <cell r="U465">
            <v>1</v>
          </cell>
          <cell r="V465">
            <v>1</v>
          </cell>
          <cell r="Z465">
            <v>1</v>
          </cell>
          <cell r="AB465">
            <v>1</v>
          </cell>
          <cell r="AC465">
            <v>1</v>
          </cell>
          <cell r="AG465">
            <v>1</v>
          </cell>
          <cell r="AI465">
            <v>1</v>
          </cell>
          <cell r="AK465">
            <v>1</v>
          </cell>
          <cell r="AP465">
            <v>1</v>
          </cell>
          <cell r="AW465">
            <v>1</v>
          </cell>
          <cell r="AY465">
            <v>1</v>
          </cell>
          <cell r="BC465">
            <v>0</v>
          </cell>
          <cell r="BD465">
            <v>6</v>
          </cell>
          <cell r="BE465">
            <v>3</v>
          </cell>
          <cell r="BF465">
            <v>2</v>
          </cell>
          <cell r="BG465">
            <v>0</v>
          </cell>
          <cell r="BH465">
            <v>0</v>
          </cell>
          <cell r="BI465">
            <v>3</v>
          </cell>
        </row>
        <row r="466">
          <cell r="C466" t="str">
            <v>Đoàn Trúc Quỳnh</v>
          </cell>
          <cell r="D466">
            <v>1753</v>
          </cell>
          <cell r="AW466">
            <v>1</v>
          </cell>
          <cell r="AY466">
            <v>1</v>
          </cell>
          <cell r="BC466">
            <v>0</v>
          </cell>
          <cell r="BD466">
            <v>1</v>
          </cell>
          <cell r="BE466">
            <v>0</v>
          </cell>
          <cell r="BF466">
            <v>1</v>
          </cell>
          <cell r="BG466">
            <v>0</v>
          </cell>
          <cell r="BH466">
            <v>0</v>
          </cell>
          <cell r="BI466">
            <v>0</v>
          </cell>
        </row>
        <row r="467">
          <cell r="C467" t="str">
            <v>Trịnh Thị Hường</v>
          </cell>
          <cell r="D467">
            <v>1461</v>
          </cell>
          <cell r="E467" t="str">
            <v>Trưởng bộ môn</v>
          </cell>
          <cell r="G467">
            <v>1</v>
          </cell>
          <cell r="I467">
            <v>1</v>
          </cell>
          <cell r="N467">
            <v>1</v>
          </cell>
          <cell r="O467">
            <v>1</v>
          </cell>
          <cell r="S467">
            <v>1</v>
          </cell>
          <cell r="T467">
            <v>1</v>
          </cell>
          <cell r="U467">
            <v>1</v>
          </cell>
          <cell r="V467">
            <v>1</v>
          </cell>
          <cell r="Z467">
            <v>1</v>
          </cell>
          <cell r="AA467">
            <v>1</v>
          </cell>
          <cell r="AB467">
            <v>1</v>
          </cell>
          <cell r="AC467">
            <v>1</v>
          </cell>
          <cell r="AG467">
            <v>1</v>
          </cell>
          <cell r="AI467">
            <v>1</v>
          </cell>
          <cell r="AJ467">
            <v>1</v>
          </cell>
          <cell r="AN467">
            <v>1</v>
          </cell>
          <cell r="AP467">
            <v>1</v>
          </cell>
          <cell r="AV467">
            <v>1</v>
          </cell>
          <cell r="AW467">
            <v>1</v>
          </cell>
          <cell r="AY467">
            <v>1</v>
          </cell>
          <cell r="BB467">
            <v>1</v>
          </cell>
          <cell r="BC467">
            <v>3</v>
          </cell>
          <cell r="BD467">
            <v>6</v>
          </cell>
          <cell r="BE467">
            <v>4</v>
          </cell>
          <cell r="BF467">
            <v>1</v>
          </cell>
          <cell r="BG467">
            <v>0</v>
          </cell>
          <cell r="BH467">
            <v>0</v>
          </cell>
          <cell r="BI467">
            <v>5</v>
          </cell>
        </row>
        <row r="468">
          <cell r="C468" t="str">
            <v>Nguyễn Thị Tuyết Mai</v>
          </cell>
          <cell r="D468">
            <v>1459</v>
          </cell>
          <cell r="E468" t="str">
            <v>Phó Trưởng bộ môn</v>
          </cell>
          <cell r="G468">
            <v>1</v>
          </cell>
          <cell r="I468">
            <v>1</v>
          </cell>
          <cell r="N468">
            <v>1</v>
          </cell>
          <cell r="P468">
            <v>1</v>
          </cell>
          <cell r="U468">
            <v>1</v>
          </cell>
          <cell r="W468">
            <v>1</v>
          </cell>
          <cell r="AA468">
            <v>1</v>
          </cell>
          <cell r="AB468">
            <v>1</v>
          </cell>
          <cell r="AC468">
            <v>1</v>
          </cell>
          <cell r="AG468">
            <v>1</v>
          </cell>
          <cell r="AI468">
            <v>1</v>
          </cell>
          <cell r="AJ468">
            <v>1</v>
          </cell>
          <cell r="AN468">
            <v>1</v>
          </cell>
          <cell r="AP468">
            <v>1</v>
          </cell>
          <cell r="AW468">
            <v>1</v>
          </cell>
          <cell r="AX468">
            <v>1</v>
          </cell>
          <cell r="BB468">
            <v>1</v>
          </cell>
          <cell r="BC468">
            <v>1</v>
          </cell>
          <cell r="BD468">
            <v>6</v>
          </cell>
          <cell r="BE468">
            <v>3</v>
          </cell>
          <cell r="BF468">
            <v>2</v>
          </cell>
          <cell r="BG468">
            <v>0</v>
          </cell>
          <cell r="BH468">
            <v>0</v>
          </cell>
          <cell r="BI468">
            <v>3</v>
          </cell>
        </row>
        <row r="469">
          <cell r="C469" t="str">
            <v>Nguyễn Đức Minh</v>
          </cell>
          <cell r="D469">
            <v>1456</v>
          </cell>
          <cell r="G469">
            <v>1</v>
          </cell>
          <cell r="I469">
            <v>1</v>
          </cell>
          <cell r="N469">
            <v>1</v>
          </cell>
          <cell r="O469">
            <v>1</v>
          </cell>
          <cell r="S469">
            <v>1</v>
          </cell>
          <cell r="U469">
            <v>1</v>
          </cell>
          <cell r="V469">
            <v>1</v>
          </cell>
          <cell r="Z469">
            <v>1</v>
          </cell>
          <cell r="AB469">
            <v>1</v>
          </cell>
          <cell r="AC469">
            <v>1</v>
          </cell>
          <cell r="AG469">
            <v>1</v>
          </cell>
          <cell r="AI469">
            <v>1</v>
          </cell>
          <cell r="AJ469">
            <v>1</v>
          </cell>
          <cell r="AN469">
            <v>1</v>
          </cell>
          <cell r="AP469">
            <v>1</v>
          </cell>
          <cell r="AQ469">
            <v>1</v>
          </cell>
          <cell r="AU469">
            <v>1</v>
          </cell>
          <cell r="AW469">
            <v>1</v>
          </cell>
          <cell r="AX469">
            <v>1</v>
          </cell>
          <cell r="BC469">
            <v>0</v>
          </cell>
          <cell r="BD469">
            <v>6</v>
          </cell>
          <cell r="BE469">
            <v>6</v>
          </cell>
          <cell r="BF469">
            <v>0</v>
          </cell>
          <cell r="BG469">
            <v>0</v>
          </cell>
          <cell r="BH469">
            <v>0</v>
          </cell>
          <cell r="BI469">
            <v>5</v>
          </cell>
        </row>
        <row r="470">
          <cell r="C470" t="str">
            <v>Lê Thị Thu Giang</v>
          </cell>
          <cell r="D470">
            <v>1457</v>
          </cell>
          <cell r="E470" t="str">
            <v>BTCĐ</v>
          </cell>
          <cell r="G470">
            <v>1</v>
          </cell>
          <cell r="H470">
            <v>1</v>
          </cell>
          <cell r="L470">
            <v>1</v>
          </cell>
          <cell r="N470">
            <v>1</v>
          </cell>
          <cell r="O470">
            <v>1</v>
          </cell>
          <cell r="S470">
            <v>1</v>
          </cell>
          <cell r="U470">
            <v>1</v>
          </cell>
          <cell r="V470">
            <v>1</v>
          </cell>
          <cell r="Z470">
            <v>1</v>
          </cell>
          <cell r="AB470">
            <v>1</v>
          </cell>
          <cell r="AC470">
            <v>1</v>
          </cell>
          <cell r="AG470">
            <v>1</v>
          </cell>
          <cell r="AI470">
            <v>1</v>
          </cell>
          <cell r="AK470">
            <v>1</v>
          </cell>
          <cell r="AP470">
            <v>1</v>
          </cell>
          <cell r="AW470">
            <v>1</v>
          </cell>
          <cell r="AY470">
            <v>1</v>
          </cell>
          <cell r="BC470">
            <v>0</v>
          </cell>
          <cell r="BD470">
            <v>6</v>
          </cell>
          <cell r="BE470">
            <v>3</v>
          </cell>
          <cell r="BF470">
            <v>2</v>
          </cell>
          <cell r="BG470">
            <v>0</v>
          </cell>
          <cell r="BH470">
            <v>0</v>
          </cell>
          <cell r="BI470">
            <v>3</v>
          </cell>
        </row>
        <row r="471">
          <cell r="C471" t="str">
            <v>Lê Văn Tuấn</v>
          </cell>
          <cell r="D471">
            <v>1458</v>
          </cell>
          <cell r="G471">
            <v>1</v>
          </cell>
          <cell r="H471">
            <v>1</v>
          </cell>
          <cell r="L471">
            <v>1</v>
          </cell>
          <cell r="N471">
            <v>1</v>
          </cell>
          <cell r="O471">
            <v>1</v>
          </cell>
          <cell r="S471">
            <v>1</v>
          </cell>
          <cell r="U471">
            <v>1</v>
          </cell>
          <cell r="V471">
            <v>1</v>
          </cell>
          <cell r="Z471">
            <v>1</v>
          </cell>
          <cell r="AB471">
            <v>1</v>
          </cell>
          <cell r="AC471">
            <v>1</v>
          </cell>
          <cell r="AG471">
            <v>1</v>
          </cell>
          <cell r="AI471">
            <v>1</v>
          </cell>
          <cell r="AK471">
            <v>1</v>
          </cell>
          <cell r="AP471">
            <v>1</v>
          </cell>
          <cell r="AW471">
            <v>1</v>
          </cell>
          <cell r="AY471">
            <v>1</v>
          </cell>
          <cell r="BC471">
            <v>0</v>
          </cell>
          <cell r="BD471">
            <v>6</v>
          </cell>
          <cell r="BE471">
            <v>3</v>
          </cell>
          <cell r="BF471">
            <v>2</v>
          </cell>
          <cell r="BG471">
            <v>0</v>
          </cell>
          <cell r="BH471">
            <v>0</v>
          </cell>
          <cell r="BI471">
            <v>3</v>
          </cell>
        </row>
        <row r="472">
          <cell r="C472" t="str">
            <v>Đàm Thị Thu Trang</v>
          </cell>
          <cell r="D472">
            <v>1462</v>
          </cell>
          <cell r="G472">
            <v>1</v>
          </cell>
          <cell r="I472">
            <v>1</v>
          </cell>
          <cell r="N472">
            <v>1</v>
          </cell>
          <cell r="O472">
            <v>1</v>
          </cell>
          <cell r="S472">
            <v>1</v>
          </cell>
          <cell r="U472">
            <v>1</v>
          </cell>
          <cell r="V472">
            <v>1</v>
          </cell>
          <cell r="Z472">
            <v>1</v>
          </cell>
          <cell r="AB472">
            <v>1</v>
          </cell>
          <cell r="AC472">
            <v>1</v>
          </cell>
          <cell r="AG472">
            <v>1</v>
          </cell>
          <cell r="AI472">
            <v>1</v>
          </cell>
          <cell r="AJ472">
            <v>1</v>
          </cell>
          <cell r="AN472">
            <v>1</v>
          </cell>
          <cell r="AP472">
            <v>1</v>
          </cell>
          <cell r="AV472">
            <v>1</v>
          </cell>
          <cell r="AW472">
            <v>1</v>
          </cell>
          <cell r="AY472">
            <v>1</v>
          </cell>
          <cell r="BB472">
            <v>1</v>
          </cell>
          <cell r="BC472">
            <v>1</v>
          </cell>
          <cell r="BD472">
            <v>6</v>
          </cell>
          <cell r="BE472">
            <v>4</v>
          </cell>
          <cell r="BF472">
            <v>1</v>
          </cell>
          <cell r="BG472">
            <v>0</v>
          </cell>
          <cell r="BH472">
            <v>0</v>
          </cell>
          <cell r="BI472">
            <v>5</v>
          </cell>
        </row>
        <row r="473">
          <cell r="C473" t="str">
            <v>Vũ Thị Huyền Trang</v>
          </cell>
          <cell r="D473">
            <v>1464</v>
          </cell>
          <cell r="E473" t="str">
            <v>Phó trưởng khoa, BTCB,
 THNV Trưởng khoa từ 5/9</v>
          </cell>
          <cell r="F473">
            <v>1</v>
          </cell>
          <cell r="G473">
            <v>1</v>
          </cell>
          <cell r="H473">
            <v>1</v>
          </cell>
          <cell r="L473">
            <v>1</v>
          </cell>
          <cell r="N473">
            <v>1</v>
          </cell>
          <cell r="O473">
            <v>1</v>
          </cell>
          <cell r="S473">
            <v>1</v>
          </cell>
          <cell r="U473">
            <v>1</v>
          </cell>
          <cell r="V473">
            <v>1</v>
          </cell>
          <cell r="Z473">
            <v>1</v>
          </cell>
          <cell r="AA473">
            <v>1</v>
          </cell>
          <cell r="AB473">
            <v>1</v>
          </cell>
          <cell r="AC473">
            <v>1</v>
          </cell>
          <cell r="AG473">
            <v>1</v>
          </cell>
          <cell r="AH473">
            <v>1</v>
          </cell>
          <cell r="AI473">
            <v>1</v>
          </cell>
          <cell r="AJ473">
            <v>1</v>
          </cell>
          <cell r="AN473">
            <v>1</v>
          </cell>
          <cell r="AP473">
            <v>1</v>
          </cell>
          <cell r="AQ473">
            <v>1</v>
          </cell>
          <cell r="AU473">
            <v>1</v>
          </cell>
          <cell r="AV473">
            <v>1</v>
          </cell>
          <cell r="AW473">
            <v>1</v>
          </cell>
          <cell r="AY473">
            <v>1</v>
          </cell>
          <cell r="BB473">
            <v>1</v>
          </cell>
          <cell r="BC473">
            <v>3</v>
          </cell>
          <cell r="BD473">
            <v>6</v>
          </cell>
          <cell r="BE473">
            <v>5</v>
          </cell>
          <cell r="BF473">
            <v>1</v>
          </cell>
          <cell r="BG473">
            <v>0</v>
          </cell>
          <cell r="BH473">
            <v>0</v>
          </cell>
          <cell r="BI473">
            <v>6</v>
          </cell>
        </row>
        <row r="474">
          <cell r="C474" t="str">
            <v>Trần Anh Tuấn</v>
          </cell>
          <cell r="D474">
            <v>1468</v>
          </cell>
          <cell r="G474">
            <v>1</v>
          </cell>
          <cell r="I474">
            <v>1</v>
          </cell>
          <cell r="N474">
            <v>1</v>
          </cell>
          <cell r="O474">
            <v>1</v>
          </cell>
          <cell r="S474">
            <v>1</v>
          </cell>
          <cell r="U474">
            <v>1</v>
          </cell>
          <cell r="V474">
            <v>1</v>
          </cell>
          <cell r="Z474">
            <v>1</v>
          </cell>
          <cell r="AB474">
            <v>1</v>
          </cell>
          <cell r="AC474">
            <v>1</v>
          </cell>
          <cell r="AG474">
            <v>1</v>
          </cell>
          <cell r="AI474">
            <v>1</v>
          </cell>
          <cell r="AJ474">
            <v>1</v>
          </cell>
          <cell r="AN474">
            <v>1</v>
          </cell>
          <cell r="AP474">
            <v>1</v>
          </cell>
          <cell r="AQ474">
            <v>1</v>
          </cell>
          <cell r="AU474">
            <v>1</v>
          </cell>
          <cell r="AW474">
            <v>1</v>
          </cell>
          <cell r="AY474">
            <v>1</v>
          </cell>
          <cell r="BC474">
            <v>0</v>
          </cell>
          <cell r="BD474">
            <v>6</v>
          </cell>
          <cell r="BE474">
            <v>5</v>
          </cell>
          <cell r="BF474">
            <v>1</v>
          </cell>
          <cell r="BG474">
            <v>0</v>
          </cell>
          <cell r="BH474">
            <v>0</v>
          </cell>
          <cell r="BI474">
            <v>5</v>
          </cell>
        </row>
        <row r="475">
          <cell r="C475" t="str">
            <v>Nguyễn Thị Quỳnh Trâm</v>
          </cell>
          <cell r="D475">
            <v>1469</v>
          </cell>
          <cell r="G475">
            <v>1</v>
          </cell>
          <cell r="I475">
            <v>1</v>
          </cell>
          <cell r="N475">
            <v>1</v>
          </cell>
          <cell r="O475">
            <v>1</v>
          </cell>
          <cell r="S475">
            <v>1</v>
          </cell>
          <cell r="U475">
            <v>1</v>
          </cell>
          <cell r="V475">
            <v>1</v>
          </cell>
          <cell r="Z475">
            <v>1</v>
          </cell>
          <cell r="AB475">
            <v>1</v>
          </cell>
          <cell r="AC475">
            <v>1</v>
          </cell>
          <cell r="AG475">
            <v>1</v>
          </cell>
          <cell r="AI475">
            <v>1</v>
          </cell>
          <cell r="AJ475">
            <v>1</v>
          </cell>
          <cell r="AN475">
            <v>1</v>
          </cell>
          <cell r="AP475">
            <v>1</v>
          </cell>
          <cell r="AW475">
            <v>1</v>
          </cell>
          <cell r="AY475">
            <v>1</v>
          </cell>
          <cell r="BC475">
            <v>0</v>
          </cell>
          <cell r="BD475">
            <v>6</v>
          </cell>
          <cell r="BE475">
            <v>4</v>
          </cell>
          <cell r="BF475">
            <v>1</v>
          </cell>
          <cell r="BG475">
            <v>0</v>
          </cell>
          <cell r="BH475">
            <v>0</v>
          </cell>
          <cell r="BI475">
            <v>4</v>
          </cell>
        </row>
        <row r="476">
          <cell r="C476" t="str">
            <v>Lê Tiến Đạt</v>
          </cell>
          <cell r="D476">
            <v>1472</v>
          </cell>
          <cell r="E476" t="str">
            <v>Trưởng BM, BTCB</v>
          </cell>
          <cell r="F476">
            <v>1</v>
          </cell>
          <cell r="G476">
            <v>1</v>
          </cell>
          <cell r="H476">
            <v>1</v>
          </cell>
          <cell r="L476">
            <v>1</v>
          </cell>
          <cell r="M476">
            <v>1</v>
          </cell>
          <cell r="N476">
            <v>1</v>
          </cell>
          <cell r="O476">
            <v>1</v>
          </cell>
          <cell r="S476">
            <v>1</v>
          </cell>
          <cell r="U476">
            <v>1</v>
          </cell>
          <cell r="V476">
            <v>1</v>
          </cell>
          <cell r="Z476">
            <v>1</v>
          </cell>
          <cell r="AB476">
            <v>1</v>
          </cell>
          <cell r="AC476">
            <v>1</v>
          </cell>
          <cell r="AG476">
            <v>1</v>
          </cell>
          <cell r="AI476">
            <v>1</v>
          </cell>
          <cell r="AJ476">
            <v>1</v>
          </cell>
          <cell r="AN476">
            <v>1</v>
          </cell>
          <cell r="AP476">
            <v>1</v>
          </cell>
          <cell r="AV476">
            <v>1</v>
          </cell>
          <cell r="AW476">
            <v>1</v>
          </cell>
          <cell r="AY476">
            <v>1</v>
          </cell>
          <cell r="BB476">
            <v>1</v>
          </cell>
          <cell r="BC476">
            <v>2</v>
          </cell>
          <cell r="BD476">
            <v>6</v>
          </cell>
          <cell r="BE476">
            <v>4</v>
          </cell>
          <cell r="BF476">
            <v>1</v>
          </cell>
          <cell r="BG476">
            <v>0</v>
          </cell>
          <cell r="BH476">
            <v>0</v>
          </cell>
          <cell r="BI476">
            <v>5</v>
          </cell>
        </row>
        <row r="477">
          <cell r="C477" t="str">
            <v>Phạm Thị Minh Uyên</v>
          </cell>
          <cell r="D477">
            <v>1473</v>
          </cell>
          <cell r="E477" t="str">
            <v>Phó Trưởng bộ môn</v>
          </cell>
          <cell r="G477">
            <v>1</v>
          </cell>
          <cell r="I477">
            <v>1</v>
          </cell>
          <cell r="N477">
            <v>1</v>
          </cell>
          <cell r="O477">
            <v>1</v>
          </cell>
          <cell r="S477">
            <v>1</v>
          </cell>
          <cell r="U477">
            <v>1</v>
          </cell>
          <cell r="W477">
            <v>1</v>
          </cell>
          <cell r="AB477">
            <v>1</v>
          </cell>
          <cell r="AC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N477">
            <v>1</v>
          </cell>
          <cell r="AP477">
            <v>1</v>
          </cell>
          <cell r="AQ477">
            <v>1</v>
          </cell>
          <cell r="AU477">
            <v>1</v>
          </cell>
          <cell r="AW477">
            <v>1</v>
          </cell>
          <cell r="AY477">
            <v>1</v>
          </cell>
          <cell r="BC477">
            <v>1</v>
          </cell>
          <cell r="BD477">
            <v>6</v>
          </cell>
          <cell r="BE477">
            <v>4</v>
          </cell>
          <cell r="BF477">
            <v>2</v>
          </cell>
          <cell r="BG477">
            <v>0</v>
          </cell>
          <cell r="BH477">
            <v>0</v>
          </cell>
          <cell r="BI477">
            <v>4</v>
          </cell>
        </row>
        <row r="478">
          <cell r="C478" t="str">
            <v>Nguyễn Nguyệt Nga</v>
          </cell>
          <cell r="F478">
            <v>1</v>
          </cell>
          <cell r="G478">
            <v>1</v>
          </cell>
          <cell r="H478">
            <v>1</v>
          </cell>
          <cell r="L478">
            <v>1</v>
          </cell>
          <cell r="N478">
            <v>1</v>
          </cell>
          <cell r="P478">
            <v>1</v>
          </cell>
          <cell r="U478">
            <v>1</v>
          </cell>
          <cell r="V478">
            <v>1</v>
          </cell>
          <cell r="Z478">
            <v>1</v>
          </cell>
          <cell r="AB478">
            <v>1</v>
          </cell>
          <cell r="AC478">
            <v>1</v>
          </cell>
          <cell r="AG478">
            <v>1</v>
          </cell>
          <cell r="AI478">
            <v>1</v>
          </cell>
          <cell r="AJ478">
            <v>1</v>
          </cell>
          <cell r="AN478">
            <v>1</v>
          </cell>
          <cell r="AP478">
            <v>1</v>
          </cell>
          <cell r="BC478">
            <v>0</v>
          </cell>
          <cell r="BD478">
            <v>5</v>
          </cell>
          <cell r="BE478">
            <v>3</v>
          </cell>
          <cell r="BF478">
            <v>1</v>
          </cell>
          <cell r="BG478">
            <v>0</v>
          </cell>
          <cell r="BH478">
            <v>0</v>
          </cell>
          <cell r="BI478">
            <v>3</v>
          </cell>
        </row>
        <row r="479">
          <cell r="C479" t="str">
            <v>Nguyễn Đắc Thành</v>
          </cell>
          <cell r="D479">
            <v>1475</v>
          </cell>
          <cell r="G479">
            <v>1</v>
          </cell>
          <cell r="H479">
            <v>1</v>
          </cell>
          <cell r="L479">
            <v>1</v>
          </cell>
          <cell r="N479">
            <v>1</v>
          </cell>
          <cell r="O479">
            <v>1</v>
          </cell>
          <cell r="S479">
            <v>1</v>
          </cell>
          <cell r="U479">
            <v>1</v>
          </cell>
          <cell r="V479">
            <v>1</v>
          </cell>
          <cell r="Z479">
            <v>1</v>
          </cell>
          <cell r="AB479">
            <v>1</v>
          </cell>
          <cell r="AC479">
            <v>1</v>
          </cell>
          <cell r="AG479">
            <v>1</v>
          </cell>
          <cell r="AI479">
            <v>1</v>
          </cell>
          <cell r="AJ479">
            <v>1</v>
          </cell>
          <cell r="AN479">
            <v>1</v>
          </cell>
          <cell r="AO479">
            <v>1</v>
          </cell>
          <cell r="AP479">
            <v>1</v>
          </cell>
          <cell r="AQ479">
            <v>1</v>
          </cell>
          <cell r="AU479">
            <v>1</v>
          </cell>
          <cell r="AW479">
            <v>1</v>
          </cell>
          <cell r="AY479">
            <v>1</v>
          </cell>
          <cell r="BC479">
            <v>1</v>
          </cell>
          <cell r="BD479">
            <v>6</v>
          </cell>
          <cell r="BE479">
            <v>5</v>
          </cell>
          <cell r="BF479">
            <v>1</v>
          </cell>
          <cell r="BG479">
            <v>0</v>
          </cell>
          <cell r="BH479">
            <v>0</v>
          </cell>
          <cell r="BI479">
            <v>5</v>
          </cell>
        </row>
        <row r="480">
          <cell r="C480" t="str">
            <v>Lê Thị Thu</v>
          </cell>
          <cell r="D480">
            <v>1476</v>
          </cell>
          <cell r="G480">
            <v>1</v>
          </cell>
          <cell r="I480">
            <v>1</v>
          </cell>
          <cell r="N480">
            <v>1</v>
          </cell>
          <cell r="O480">
            <v>1</v>
          </cell>
          <cell r="S480">
            <v>1</v>
          </cell>
          <cell r="T480">
            <v>1</v>
          </cell>
          <cell r="U480">
            <v>1</v>
          </cell>
          <cell r="V480">
            <v>1</v>
          </cell>
          <cell r="Z480">
            <v>1</v>
          </cell>
          <cell r="AB480">
            <v>1</v>
          </cell>
          <cell r="AC480">
            <v>1</v>
          </cell>
          <cell r="AG480">
            <v>1</v>
          </cell>
          <cell r="AI480">
            <v>1</v>
          </cell>
          <cell r="AJ480">
            <v>1</v>
          </cell>
          <cell r="AN480">
            <v>1</v>
          </cell>
          <cell r="AP480">
            <v>1</v>
          </cell>
          <cell r="AW480">
            <v>1</v>
          </cell>
          <cell r="AY480">
            <v>1</v>
          </cell>
          <cell r="BC480">
            <v>1</v>
          </cell>
          <cell r="BD480">
            <v>6</v>
          </cell>
          <cell r="BE480">
            <v>4</v>
          </cell>
          <cell r="BF480">
            <v>1</v>
          </cell>
          <cell r="BG480">
            <v>0</v>
          </cell>
          <cell r="BH480">
            <v>0</v>
          </cell>
          <cell r="BI480">
            <v>4</v>
          </cell>
        </row>
        <row r="481">
          <cell r="C481" t="str">
            <v>Vũ Thị Thùy Linh</v>
          </cell>
          <cell r="D481">
            <v>1477</v>
          </cell>
          <cell r="G481">
            <v>1</v>
          </cell>
          <cell r="I481">
            <v>1</v>
          </cell>
          <cell r="N481">
            <v>1</v>
          </cell>
          <cell r="P481">
            <v>1</v>
          </cell>
          <cell r="U481">
            <v>1</v>
          </cell>
          <cell r="V481">
            <v>1</v>
          </cell>
          <cell r="Z481">
            <v>1</v>
          </cell>
          <cell r="AA481">
            <v>1</v>
          </cell>
          <cell r="AB481">
            <v>1</v>
          </cell>
          <cell r="AC481">
            <v>1</v>
          </cell>
          <cell r="AG481">
            <v>1</v>
          </cell>
          <cell r="AI481">
            <v>1</v>
          </cell>
          <cell r="AJ481">
            <v>1</v>
          </cell>
          <cell r="AN481">
            <v>1</v>
          </cell>
          <cell r="AP481">
            <v>1</v>
          </cell>
          <cell r="AQ481">
            <v>1</v>
          </cell>
          <cell r="AU481">
            <v>1</v>
          </cell>
          <cell r="AW481">
            <v>1</v>
          </cell>
          <cell r="AY481">
            <v>1</v>
          </cell>
          <cell r="BC481">
            <v>1</v>
          </cell>
          <cell r="BD481">
            <v>6</v>
          </cell>
          <cell r="BE481">
            <v>4</v>
          </cell>
          <cell r="BF481">
            <v>2</v>
          </cell>
          <cell r="BG481">
            <v>0</v>
          </cell>
          <cell r="BH481">
            <v>0</v>
          </cell>
          <cell r="BI481">
            <v>4</v>
          </cell>
        </row>
        <row r="482">
          <cell r="C482" t="str">
            <v>Vũ Trọng Nghĩa</v>
          </cell>
          <cell r="D482">
            <v>1478</v>
          </cell>
          <cell r="E482" t="str">
            <v>TTCĐ</v>
          </cell>
          <cell r="G482">
            <v>1</v>
          </cell>
          <cell r="I482">
            <v>1</v>
          </cell>
          <cell r="Q482">
            <v>1</v>
          </cell>
          <cell r="U482">
            <v>1</v>
          </cell>
          <cell r="V482">
            <v>1</v>
          </cell>
          <cell r="Z482">
            <v>1</v>
          </cell>
          <cell r="AB482">
            <v>1</v>
          </cell>
          <cell r="AC482">
            <v>1</v>
          </cell>
          <cell r="AG482">
            <v>1</v>
          </cell>
          <cell r="AI482">
            <v>1</v>
          </cell>
          <cell r="AJ482">
            <v>1</v>
          </cell>
          <cell r="AN482">
            <v>1</v>
          </cell>
          <cell r="AP482">
            <v>1</v>
          </cell>
          <cell r="AW482">
            <v>1</v>
          </cell>
          <cell r="AX482">
            <v>1</v>
          </cell>
          <cell r="BB482">
            <v>1</v>
          </cell>
          <cell r="BC482">
            <v>0</v>
          </cell>
          <cell r="BD482">
            <v>5</v>
          </cell>
          <cell r="BE482">
            <v>4</v>
          </cell>
          <cell r="BF482">
            <v>0</v>
          </cell>
          <cell r="BG482">
            <v>1</v>
          </cell>
          <cell r="BH482">
            <v>0</v>
          </cell>
          <cell r="BI482">
            <v>4</v>
          </cell>
        </row>
        <row r="483">
          <cell r="C483" t="str">
            <v>Lương Phúc Thành</v>
          </cell>
          <cell r="D483">
            <v>1479</v>
          </cell>
          <cell r="E483" t="str">
            <v>Trưởng BM thuộc Trường, 
BTCB</v>
          </cell>
          <cell r="F483">
            <v>1</v>
          </cell>
          <cell r="G483">
            <v>1</v>
          </cell>
          <cell r="H483">
            <v>1</v>
          </cell>
          <cell r="L483">
            <v>1</v>
          </cell>
          <cell r="N483">
            <v>1</v>
          </cell>
          <cell r="O483">
            <v>1</v>
          </cell>
          <cell r="S483">
            <v>1</v>
          </cell>
          <cell r="U483">
            <v>1</v>
          </cell>
          <cell r="V483">
            <v>1</v>
          </cell>
          <cell r="Z483">
            <v>1</v>
          </cell>
          <cell r="AB483">
            <v>1</v>
          </cell>
          <cell r="AC483">
            <v>1</v>
          </cell>
          <cell r="AG483">
            <v>1</v>
          </cell>
          <cell r="AH483">
            <v>1</v>
          </cell>
          <cell r="AI483">
            <v>1</v>
          </cell>
          <cell r="AJ483">
            <v>1</v>
          </cell>
          <cell r="AN483">
            <v>1</v>
          </cell>
          <cell r="AP483">
            <v>1</v>
          </cell>
          <cell r="AV483">
            <v>1</v>
          </cell>
          <cell r="AW483">
            <v>1</v>
          </cell>
          <cell r="AY483">
            <v>1</v>
          </cell>
          <cell r="BB483">
            <v>1</v>
          </cell>
          <cell r="BC483">
            <v>2</v>
          </cell>
          <cell r="BD483">
            <v>6</v>
          </cell>
          <cell r="BE483">
            <v>4</v>
          </cell>
          <cell r="BF483">
            <v>1</v>
          </cell>
          <cell r="BG483">
            <v>0</v>
          </cell>
          <cell r="BH483">
            <v>0</v>
          </cell>
          <cell r="BI483">
            <v>5</v>
          </cell>
        </row>
        <row r="484">
          <cell r="C484" t="str">
            <v>Nguyễn Thị Linh</v>
          </cell>
          <cell r="D484">
            <v>1480</v>
          </cell>
          <cell r="E484" t="str">
            <v>Phó Trưởng BM
 thuộc trường, CUV</v>
          </cell>
          <cell r="G484">
            <v>1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O484">
            <v>1</v>
          </cell>
          <cell r="S484">
            <v>1</v>
          </cell>
          <cell r="U484">
            <v>1</v>
          </cell>
          <cell r="V484">
            <v>1</v>
          </cell>
          <cell r="Z484">
            <v>1</v>
          </cell>
          <cell r="AB484">
            <v>1</v>
          </cell>
          <cell r="AC484">
            <v>1</v>
          </cell>
          <cell r="AG484">
            <v>1</v>
          </cell>
          <cell r="AI484">
            <v>1</v>
          </cell>
          <cell r="AJ484">
            <v>1</v>
          </cell>
          <cell r="AN484">
            <v>1</v>
          </cell>
          <cell r="AP484">
            <v>1</v>
          </cell>
          <cell r="AQ484">
            <v>1</v>
          </cell>
          <cell r="AU484">
            <v>1</v>
          </cell>
          <cell r="AV484">
            <v>1</v>
          </cell>
          <cell r="AW484">
            <v>1</v>
          </cell>
          <cell r="AX484">
            <v>1</v>
          </cell>
          <cell r="BB484">
            <v>1</v>
          </cell>
          <cell r="BC484">
            <v>2</v>
          </cell>
          <cell r="BD484">
            <v>6</v>
          </cell>
          <cell r="BE484">
            <v>6</v>
          </cell>
          <cell r="BF484">
            <v>0</v>
          </cell>
          <cell r="BG484">
            <v>0</v>
          </cell>
          <cell r="BH484">
            <v>0</v>
          </cell>
          <cell r="BI484">
            <v>6</v>
          </cell>
        </row>
        <row r="485">
          <cell r="C485" t="str">
            <v>Đinh Trà Giang</v>
          </cell>
          <cell r="D485">
            <v>1481</v>
          </cell>
          <cell r="F485">
            <v>1</v>
          </cell>
          <cell r="G485">
            <v>1</v>
          </cell>
          <cell r="H485">
            <v>1</v>
          </cell>
          <cell r="L485">
            <v>1</v>
          </cell>
          <cell r="N485">
            <v>1</v>
          </cell>
          <cell r="O485">
            <v>1</v>
          </cell>
          <cell r="S485">
            <v>1</v>
          </cell>
          <cell r="U485">
            <v>1</v>
          </cell>
          <cell r="V485">
            <v>1</v>
          </cell>
          <cell r="Z485">
            <v>1</v>
          </cell>
          <cell r="AB485">
            <v>1</v>
          </cell>
          <cell r="AC485">
            <v>1</v>
          </cell>
          <cell r="AG485">
            <v>1</v>
          </cell>
          <cell r="AI485">
            <v>1</v>
          </cell>
          <cell r="AJ485">
            <v>1</v>
          </cell>
          <cell r="AN485">
            <v>1</v>
          </cell>
          <cell r="AP485">
            <v>1</v>
          </cell>
          <cell r="AQ485">
            <v>1</v>
          </cell>
          <cell r="AU485">
            <v>1</v>
          </cell>
          <cell r="AW485">
            <v>1</v>
          </cell>
          <cell r="AY485">
            <v>1</v>
          </cell>
          <cell r="BC485">
            <v>0</v>
          </cell>
          <cell r="BD485">
            <v>6</v>
          </cell>
          <cell r="BE485">
            <v>5</v>
          </cell>
          <cell r="BF485">
            <v>1</v>
          </cell>
          <cell r="BG485">
            <v>0</v>
          </cell>
          <cell r="BH485">
            <v>0</v>
          </cell>
          <cell r="BI485">
            <v>5</v>
          </cell>
        </row>
        <row r="486">
          <cell r="C486" t="str">
            <v>Bùi Thăng Long</v>
          </cell>
          <cell r="D486">
            <v>1482</v>
          </cell>
          <cell r="J486">
            <v>1</v>
          </cell>
          <cell r="N486">
            <v>1</v>
          </cell>
          <cell r="P486">
            <v>1</v>
          </cell>
          <cell r="U486">
            <v>1</v>
          </cell>
          <cell r="W486">
            <v>1</v>
          </cell>
          <cell r="AB486">
            <v>1</v>
          </cell>
          <cell r="AC486">
            <v>1</v>
          </cell>
          <cell r="AG486">
            <v>1</v>
          </cell>
          <cell r="AL486">
            <v>1</v>
          </cell>
          <cell r="AP486">
            <v>1</v>
          </cell>
          <cell r="AW486">
            <v>1</v>
          </cell>
          <cell r="AY486">
            <v>1</v>
          </cell>
          <cell r="BC486">
            <v>0</v>
          </cell>
          <cell r="BD486">
            <v>5</v>
          </cell>
          <cell r="BE486">
            <v>1</v>
          </cell>
          <cell r="BF486">
            <v>3</v>
          </cell>
          <cell r="BG486">
            <v>1</v>
          </cell>
          <cell r="BH486">
            <v>0</v>
          </cell>
          <cell r="BI486">
            <v>1</v>
          </cell>
        </row>
        <row r="487">
          <cell r="C487" t="str">
            <v>Phan Thanh Hòa</v>
          </cell>
          <cell r="D487">
            <v>1483</v>
          </cell>
          <cell r="J487">
            <v>1</v>
          </cell>
          <cell r="Q487">
            <v>1</v>
          </cell>
          <cell r="U487">
            <v>1</v>
          </cell>
          <cell r="V487">
            <v>1</v>
          </cell>
          <cell r="Z487">
            <v>1</v>
          </cell>
          <cell r="AB487">
            <v>1</v>
          </cell>
          <cell r="AC487">
            <v>1</v>
          </cell>
          <cell r="AG487">
            <v>1</v>
          </cell>
          <cell r="AL487">
            <v>1</v>
          </cell>
          <cell r="AP487">
            <v>1</v>
          </cell>
          <cell r="AW487">
            <v>1</v>
          </cell>
          <cell r="AY487">
            <v>1</v>
          </cell>
          <cell r="BC487">
            <v>0</v>
          </cell>
          <cell r="BD487">
            <v>4</v>
          </cell>
          <cell r="BE487">
            <v>2</v>
          </cell>
          <cell r="BF487">
            <v>1</v>
          </cell>
          <cell r="BG487">
            <v>2</v>
          </cell>
          <cell r="BH487">
            <v>0</v>
          </cell>
          <cell r="BI487">
            <v>2</v>
          </cell>
        </row>
        <row r="488">
          <cell r="C488" t="str">
            <v>Mai Ngọc Anh</v>
          </cell>
          <cell r="D488">
            <v>1484</v>
          </cell>
          <cell r="E488" t="str">
            <v>PBTCB, BTCĐ</v>
          </cell>
          <cell r="G488">
            <v>1</v>
          </cell>
          <cell r="I488">
            <v>1</v>
          </cell>
          <cell r="N488">
            <v>1</v>
          </cell>
          <cell r="O488">
            <v>1</v>
          </cell>
          <cell r="S488">
            <v>1</v>
          </cell>
          <cell r="U488">
            <v>1</v>
          </cell>
          <cell r="V488">
            <v>1</v>
          </cell>
          <cell r="Z488">
            <v>1</v>
          </cell>
          <cell r="AB488">
            <v>1</v>
          </cell>
          <cell r="AC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N488">
            <v>1</v>
          </cell>
          <cell r="AP488">
            <v>1</v>
          </cell>
          <cell r="AQ488">
            <v>1</v>
          </cell>
          <cell r="AU488">
            <v>1</v>
          </cell>
          <cell r="AW488">
            <v>1</v>
          </cell>
          <cell r="AY488">
            <v>1</v>
          </cell>
          <cell r="BC488">
            <v>1</v>
          </cell>
          <cell r="BD488">
            <v>6</v>
          </cell>
          <cell r="BE488">
            <v>5</v>
          </cell>
          <cell r="BF488">
            <v>1</v>
          </cell>
          <cell r="BG488">
            <v>0</v>
          </cell>
          <cell r="BH488">
            <v>0</v>
          </cell>
          <cell r="BI488">
            <v>5</v>
          </cell>
        </row>
        <row r="489">
          <cell r="C489" t="str">
            <v>Nguyễn Đức Tiến</v>
          </cell>
          <cell r="D489">
            <v>1485</v>
          </cell>
          <cell r="G489">
            <v>1</v>
          </cell>
          <cell r="I489">
            <v>1</v>
          </cell>
          <cell r="M489">
            <v>1</v>
          </cell>
          <cell r="N489">
            <v>1</v>
          </cell>
          <cell r="O489">
            <v>1</v>
          </cell>
          <cell r="S489">
            <v>1</v>
          </cell>
          <cell r="U489">
            <v>1</v>
          </cell>
          <cell r="V489">
            <v>1</v>
          </cell>
          <cell r="Z489">
            <v>1</v>
          </cell>
          <cell r="AB489">
            <v>1</v>
          </cell>
          <cell r="AC489">
            <v>1</v>
          </cell>
          <cell r="AG489">
            <v>1</v>
          </cell>
          <cell r="AI489">
            <v>1</v>
          </cell>
          <cell r="AK489">
            <v>1</v>
          </cell>
          <cell r="AP489">
            <v>1</v>
          </cell>
          <cell r="AW489">
            <v>1</v>
          </cell>
          <cell r="AY489">
            <v>1</v>
          </cell>
          <cell r="BC489">
            <v>1</v>
          </cell>
          <cell r="BD489">
            <v>6</v>
          </cell>
          <cell r="BE489">
            <v>3</v>
          </cell>
          <cell r="BF489">
            <v>2</v>
          </cell>
          <cell r="BG489">
            <v>0</v>
          </cell>
          <cell r="BH489">
            <v>0</v>
          </cell>
          <cell r="BI489">
            <v>3</v>
          </cell>
        </row>
        <row r="490">
          <cell r="C490" t="str">
            <v>Trần Đình Luyện</v>
          </cell>
          <cell r="D490">
            <v>1486</v>
          </cell>
          <cell r="G490">
            <v>1</v>
          </cell>
          <cell r="I490">
            <v>1</v>
          </cell>
          <cell r="N490">
            <v>1</v>
          </cell>
          <cell r="P490">
            <v>1</v>
          </cell>
          <cell r="U490">
            <v>1</v>
          </cell>
          <cell r="V490">
            <v>1</v>
          </cell>
          <cell r="Z490">
            <v>1</v>
          </cell>
          <cell r="AB490">
            <v>1</v>
          </cell>
          <cell r="AC490">
            <v>1</v>
          </cell>
          <cell r="AG490">
            <v>1</v>
          </cell>
          <cell r="AI490">
            <v>1</v>
          </cell>
          <cell r="AJ490">
            <v>1</v>
          </cell>
          <cell r="AN490">
            <v>1</v>
          </cell>
          <cell r="AP490">
            <v>1</v>
          </cell>
          <cell r="AQ490">
            <v>1</v>
          </cell>
          <cell r="AU490">
            <v>1</v>
          </cell>
          <cell r="AW490">
            <v>1</v>
          </cell>
          <cell r="AX490">
            <v>1</v>
          </cell>
          <cell r="BC490">
            <v>0</v>
          </cell>
          <cell r="BD490">
            <v>6</v>
          </cell>
          <cell r="BE490">
            <v>5</v>
          </cell>
          <cell r="BF490">
            <v>1</v>
          </cell>
          <cell r="BG490">
            <v>0</v>
          </cell>
          <cell r="BH490">
            <v>0</v>
          </cell>
          <cell r="BI490">
            <v>4</v>
          </cell>
        </row>
        <row r="491">
          <cell r="C491" t="str">
            <v>Bùi Đình Cầu</v>
          </cell>
          <cell r="D491">
            <v>1487</v>
          </cell>
          <cell r="G491">
            <v>1</v>
          </cell>
          <cell r="I491">
            <v>1</v>
          </cell>
          <cell r="N491">
            <v>1</v>
          </cell>
          <cell r="P491">
            <v>1</v>
          </cell>
          <cell r="U491">
            <v>1</v>
          </cell>
          <cell r="W491">
            <v>1</v>
          </cell>
          <cell r="Z491">
            <v>1</v>
          </cell>
          <cell r="AA491">
            <v>1</v>
          </cell>
          <cell r="AB491">
            <v>1</v>
          </cell>
          <cell r="AC491">
            <v>1</v>
          </cell>
          <cell r="AG491">
            <v>1</v>
          </cell>
          <cell r="AI491">
            <v>1</v>
          </cell>
          <cell r="AK491">
            <v>1</v>
          </cell>
          <cell r="AO491">
            <v>1</v>
          </cell>
          <cell r="AP491">
            <v>1</v>
          </cell>
          <cell r="AQ491">
            <v>1</v>
          </cell>
          <cell r="AU491">
            <v>1</v>
          </cell>
          <cell r="AW491">
            <v>1</v>
          </cell>
          <cell r="AY491">
            <v>1</v>
          </cell>
          <cell r="BC491">
            <v>2</v>
          </cell>
          <cell r="BD491">
            <v>6</v>
          </cell>
          <cell r="BE491">
            <v>2</v>
          </cell>
          <cell r="BF491">
            <v>4</v>
          </cell>
          <cell r="BG491">
            <v>0</v>
          </cell>
          <cell r="BH491">
            <v>0</v>
          </cell>
          <cell r="BI491">
            <v>3</v>
          </cell>
        </row>
        <row r="492">
          <cell r="C492" t="str">
            <v>Nguyễn Văn Sơn</v>
          </cell>
          <cell r="D492">
            <v>1488</v>
          </cell>
          <cell r="E492" t="str">
            <v>TTCĐ</v>
          </cell>
          <cell r="G492">
            <v>1</v>
          </cell>
          <cell r="I492">
            <v>1</v>
          </cell>
          <cell r="N492">
            <v>1</v>
          </cell>
          <cell r="O492">
            <v>1</v>
          </cell>
          <cell r="S492">
            <v>1</v>
          </cell>
          <cell r="T492">
            <v>1</v>
          </cell>
          <cell r="U492">
            <v>1</v>
          </cell>
          <cell r="V492">
            <v>1</v>
          </cell>
          <cell r="Z492">
            <v>1</v>
          </cell>
          <cell r="AB492">
            <v>1</v>
          </cell>
          <cell r="AC492">
            <v>1</v>
          </cell>
          <cell r="AG492">
            <v>1</v>
          </cell>
          <cell r="AI492">
            <v>1</v>
          </cell>
          <cell r="AJ492">
            <v>1</v>
          </cell>
          <cell r="AN492">
            <v>1</v>
          </cell>
          <cell r="AW492">
            <v>1</v>
          </cell>
          <cell r="AY492">
            <v>1</v>
          </cell>
          <cell r="BC492">
            <v>1</v>
          </cell>
          <cell r="BD492">
            <v>5</v>
          </cell>
          <cell r="BE492">
            <v>4</v>
          </cell>
          <cell r="BF492">
            <v>1</v>
          </cell>
          <cell r="BG492">
            <v>0</v>
          </cell>
          <cell r="BH492">
            <v>0</v>
          </cell>
          <cell r="BI492">
            <v>4</v>
          </cell>
        </row>
        <row r="493">
          <cell r="C493" t="str">
            <v>Kim Xuân Trường</v>
          </cell>
          <cell r="D493">
            <v>1489</v>
          </cell>
          <cell r="G493">
            <v>1</v>
          </cell>
          <cell r="I493">
            <v>1</v>
          </cell>
          <cell r="N493">
            <v>1</v>
          </cell>
          <cell r="P493">
            <v>1</v>
          </cell>
          <cell r="U493">
            <v>1</v>
          </cell>
          <cell r="V493">
            <v>1</v>
          </cell>
          <cell r="Z493">
            <v>1</v>
          </cell>
          <cell r="AA493">
            <v>1</v>
          </cell>
          <cell r="AB493">
            <v>1</v>
          </cell>
          <cell r="AC493">
            <v>1</v>
          </cell>
          <cell r="AG493">
            <v>1</v>
          </cell>
          <cell r="AI493">
            <v>1</v>
          </cell>
          <cell r="AK493">
            <v>1</v>
          </cell>
          <cell r="AP493">
            <v>1</v>
          </cell>
          <cell r="AW493">
            <v>1</v>
          </cell>
          <cell r="AY493">
            <v>1</v>
          </cell>
          <cell r="BC493">
            <v>1</v>
          </cell>
          <cell r="BD493">
            <v>6</v>
          </cell>
          <cell r="BE493">
            <v>2</v>
          </cell>
          <cell r="BF493">
            <v>3</v>
          </cell>
          <cell r="BG493">
            <v>0</v>
          </cell>
          <cell r="BH493">
            <v>0</v>
          </cell>
          <cell r="BI493">
            <v>2</v>
          </cell>
        </row>
        <row r="494">
          <cell r="C494" t="str">
            <v>Nguyễn Thu Thuỷ</v>
          </cell>
          <cell r="D494">
            <v>1490</v>
          </cell>
          <cell r="E494" t="str">
            <v>Viện trưởng, BTCB</v>
          </cell>
          <cell r="G494">
            <v>1</v>
          </cell>
          <cell r="H494">
            <v>1</v>
          </cell>
          <cell r="L494">
            <v>1</v>
          </cell>
          <cell r="M494">
            <v>1</v>
          </cell>
          <cell r="N494">
            <v>1</v>
          </cell>
          <cell r="O494">
            <v>1</v>
          </cell>
          <cell r="S494">
            <v>1</v>
          </cell>
          <cell r="T494">
            <v>1</v>
          </cell>
          <cell r="U494">
            <v>1</v>
          </cell>
          <cell r="V494">
            <v>1</v>
          </cell>
          <cell r="Z494">
            <v>1</v>
          </cell>
          <cell r="AA494">
            <v>1</v>
          </cell>
          <cell r="AB494">
            <v>1</v>
          </cell>
          <cell r="AC494">
            <v>1</v>
          </cell>
          <cell r="AG494">
            <v>1</v>
          </cell>
          <cell r="AH494">
            <v>1</v>
          </cell>
          <cell r="AI494">
            <v>1</v>
          </cell>
          <cell r="AJ494">
            <v>1</v>
          </cell>
          <cell r="AN494">
            <v>1</v>
          </cell>
          <cell r="AO494">
            <v>1</v>
          </cell>
          <cell r="AP494">
            <v>1</v>
          </cell>
          <cell r="AQ494">
            <v>1</v>
          </cell>
          <cell r="AU494">
            <v>1</v>
          </cell>
          <cell r="AW494">
            <v>1</v>
          </cell>
          <cell r="AY494">
            <v>1</v>
          </cell>
          <cell r="BC494">
            <v>5</v>
          </cell>
          <cell r="BD494">
            <v>6</v>
          </cell>
          <cell r="BE494">
            <v>5</v>
          </cell>
          <cell r="BF494">
            <v>1</v>
          </cell>
          <cell r="BG494">
            <v>0</v>
          </cell>
          <cell r="BH494">
            <v>0</v>
          </cell>
          <cell r="BI494">
            <v>5</v>
          </cell>
        </row>
        <row r="495">
          <cell r="C495" t="str">
            <v>Nguyễn Mạnh Hùng</v>
          </cell>
          <cell r="D495">
            <v>1497</v>
          </cell>
          <cell r="E495" t="str">
            <v>Phó Viện trưởng</v>
          </cell>
          <cell r="G495">
            <v>1</v>
          </cell>
          <cell r="H495">
            <v>1</v>
          </cell>
          <cell r="L495">
            <v>1</v>
          </cell>
          <cell r="M495">
            <v>1</v>
          </cell>
          <cell r="N495">
            <v>1</v>
          </cell>
          <cell r="O495">
            <v>1</v>
          </cell>
          <cell r="S495">
            <v>1</v>
          </cell>
          <cell r="U495">
            <v>1</v>
          </cell>
          <cell r="V495">
            <v>1</v>
          </cell>
          <cell r="Z495">
            <v>1</v>
          </cell>
          <cell r="AB495">
            <v>1</v>
          </cell>
          <cell r="AC495">
            <v>1</v>
          </cell>
          <cell r="AG495">
            <v>1</v>
          </cell>
          <cell r="AI495">
            <v>1</v>
          </cell>
          <cell r="AJ495">
            <v>1</v>
          </cell>
          <cell r="AN495">
            <v>1</v>
          </cell>
          <cell r="AP495">
            <v>1</v>
          </cell>
          <cell r="AQ495">
            <v>1</v>
          </cell>
          <cell r="AU495">
            <v>1</v>
          </cell>
          <cell r="AV495">
            <v>1</v>
          </cell>
          <cell r="AW495">
            <v>1</v>
          </cell>
          <cell r="AY495">
            <v>1</v>
          </cell>
          <cell r="BB495">
            <v>1</v>
          </cell>
          <cell r="BC495">
            <v>2</v>
          </cell>
          <cell r="BD495">
            <v>6</v>
          </cell>
          <cell r="BE495">
            <v>5</v>
          </cell>
          <cell r="BF495">
            <v>1</v>
          </cell>
          <cell r="BG495">
            <v>0</v>
          </cell>
          <cell r="BH495">
            <v>0</v>
          </cell>
          <cell r="BI495">
            <v>6</v>
          </cell>
        </row>
        <row r="496">
          <cell r="C496" t="str">
            <v>Khúc Đại Long</v>
          </cell>
          <cell r="D496">
            <v>1109</v>
          </cell>
          <cell r="E496" t="str">
            <v>Phó Viện Trưởng</v>
          </cell>
          <cell r="G496">
            <v>1</v>
          </cell>
          <cell r="H496">
            <v>1</v>
          </cell>
          <cell r="L496">
            <v>1</v>
          </cell>
          <cell r="N496">
            <v>1</v>
          </cell>
          <cell r="P496">
            <v>1</v>
          </cell>
          <cell r="U496">
            <v>1</v>
          </cell>
          <cell r="V496">
            <v>1</v>
          </cell>
          <cell r="Z496">
            <v>1</v>
          </cell>
          <cell r="AA496">
            <v>1</v>
          </cell>
          <cell r="AB496">
            <v>1</v>
          </cell>
          <cell r="AC496">
            <v>1</v>
          </cell>
          <cell r="AG496">
            <v>1</v>
          </cell>
          <cell r="AH496">
            <v>1</v>
          </cell>
          <cell r="AI496">
            <v>1</v>
          </cell>
          <cell r="AJ496">
            <v>1</v>
          </cell>
          <cell r="AN496">
            <v>1</v>
          </cell>
          <cell r="AW496">
            <v>1</v>
          </cell>
          <cell r="AY496">
            <v>1</v>
          </cell>
          <cell r="BC496">
            <v>2</v>
          </cell>
          <cell r="BD496">
            <v>5</v>
          </cell>
          <cell r="BE496">
            <v>3</v>
          </cell>
          <cell r="BF496">
            <v>2</v>
          </cell>
          <cell r="BG496">
            <v>0</v>
          </cell>
          <cell r="BH496">
            <v>0</v>
          </cell>
          <cell r="BI496">
            <v>3</v>
          </cell>
        </row>
        <row r="497">
          <cell r="C497" t="str">
            <v>Hoàng Kim Cúc</v>
          </cell>
          <cell r="D497">
            <v>1492</v>
          </cell>
          <cell r="E497" t="str">
            <v>TTCĐ, Trưởng ban Đào tạo</v>
          </cell>
          <cell r="G497">
            <v>1</v>
          </cell>
          <cell r="H497">
            <v>1</v>
          </cell>
          <cell r="L497">
            <v>1</v>
          </cell>
          <cell r="N497">
            <v>1</v>
          </cell>
          <cell r="O497">
            <v>1</v>
          </cell>
          <cell r="S497">
            <v>1</v>
          </cell>
          <cell r="U497">
            <v>1</v>
          </cell>
          <cell r="V497">
            <v>1</v>
          </cell>
          <cell r="Z497">
            <v>1</v>
          </cell>
          <cell r="AB497">
            <v>1</v>
          </cell>
          <cell r="AC497">
            <v>1</v>
          </cell>
          <cell r="AG497">
            <v>1</v>
          </cell>
          <cell r="AI497">
            <v>1</v>
          </cell>
          <cell r="AJ497">
            <v>1</v>
          </cell>
          <cell r="AN497">
            <v>1</v>
          </cell>
          <cell r="AP497">
            <v>1</v>
          </cell>
          <cell r="AQ497">
            <v>1</v>
          </cell>
          <cell r="AU497">
            <v>1</v>
          </cell>
          <cell r="AV497">
            <v>1</v>
          </cell>
          <cell r="AW497">
            <v>1</v>
          </cell>
          <cell r="AY497">
            <v>1</v>
          </cell>
          <cell r="BB497">
            <v>1</v>
          </cell>
          <cell r="BC497">
            <v>1</v>
          </cell>
          <cell r="BD497">
            <v>6</v>
          </cell>
          <cell r="BE497">
            <v>5</v>
          </cell>
          <cell r="BF497">
            <v>1</v>
          </cell>
          <cell r="BG497">
            <v>0</v>
          </cell>
          <cell r="BH497">
            <v>0</v>
          </cell>
          <cell r="BI497">
            <v>6</v>
          </cell>
        </row>
        <row r="498">
          <cell r="C498" t="str">
            <v>Nguyễn Vũ Trà Ly</v>
          </cell>
          <cell r="D498">
            <v>1494</v>
          </cell>
          <cell r="G498">
            <v>1</v>
          </cell>
          <cell r="I498">
            <v>1</v>
          </cell>
          <cell r="N498">
            <v>1</v>
          </cell>
          <cell r="O498">
            <v>1</v>
          </cell>
          <cell r="S498">
            <v>1</v>
          </cell>
          <cell r="U498">
            <v>1</v>
          </cell>
          <cell r="V498">
            <v>1</v>
          </cell>
          <cell r="Z498">
            <v>1</v>
          </cell>
          <cell r="AB498">
            <v>1</v>
          </cell>
          <cell r="AC498">
            <v>1</v>
          </cell>
          <cell r="AG498">
            <v>1</v>
          </cell>
          <cell r="AH498">
            <v>1</v>
          </cell>
          <cell r="AI498">
            <v>1</v>
          </cell>
          <cell r="AJ498">
            <v>1</v>
          </cell>
          <cell r="AN498">
            <v>1</v>
          </cell>
          <cell r="AP498">
            <v>1</v>
          </cell>
          <cell r="AQ498">
            <v>1</v>
          </cell>
          <cell r="AU498">
            <v>1</v>
          </cell>
          <cell r="AW498">
            <v>1</v>
          </cell>
          <cell r="AY498">
            <v>1</v>
          </cell>
          <cell r="BC498">
            <v>1</v>
          </cell>
          <cell r="BD498">
            <v>6</v>
          </cell>
          <cell r="BE498">
            <v>5</v>
          </cell>
          <cell r="BF498">
            <v>1</v>
          </cell>
          <cell r="BG498">
            <v>0</v>
          </cell>
          <cell r="BH498">
            <v>0</v>
          </cell>
          <cell r="BI498">
            <v>5</v>
          </cell>
        </row>
        <row r="499">
          <cell r="C499" t="str">
            <v>Bùi Thị Thúy Ánh</v>
          </cell>
          <cell r="D499">
            <v>1495</v>
          </cell>
          <cell r="E499" t="str">
            <v>PBTCB</v>
          </cell>
          <cell r="F499">
            <v>1</v>
          </cell>
          <cell r="G499">
            <v>1</v>
          </cell>
          <cell r="H499">
            <v>1</v>
          </cell>
          <cell r="L499">
            <v>1</v>
          </cell>
          <cell r="N499">
            <v>1</v>
          </cell>
          <cell r="O499">
            <v>1</v>
          </cell>
          <cell r="S499">
            <v>1</v>
          </cell>
          <cell r="U499">
            <v>1</v>
          </cell>
          <cell r="V499">
            <v>1</v>
          </cell>
          <cell r="Z499">
            <v>1</v>
          </cell>
          <cell r="AB499">
            <v>1</v>
          </cell>
          <cell r="AC499">
            <v>1</v>
          </cell>
          <cell r="AG499">
            <v>1</v>
          </cell>
          <cell r="AI499">
            <v>1</v>
          </cell>
          <cell r="AJ499">
            <v>1</v>
          </cell>
          <cell r="AN499">
            <v>1</v>
          </cell>
          <cell r="AP499">
            <v>1</v>
          </cell>
          <cell r="AQ499">
            <v>1</v>
          </cell>
          <cell r="AU499">
            <v>1</v>
          </cell>
          <cell r="AW499">
            <v>1</v>
          </cell>
          <cell r="AY499">
            <v>1</v>
          </cell>
          <cell r="BC499">
            <v>0</v>
          </cell>
          <cell r="BD499">
            <v>6</v>
          </cell>
          <cell r="BE499">
            <v>5</v>
          </cell>
          <cell r="BF499">
            <v>1</v>
          </cell>
          <cell r="BG499">
            <v>0</v>
          </cell>
          <cell r="BH499">
            <v>0</v>
          </cell>
          <cell r="BI499">
            <v>5</v>
          </cell>
        </row>
        <row r="500">
          <cell r="C500" t="str">
            <v>Kiều Thị Quỳnh Thơ</v>
          </cell>
          <cell r="D500">
            <v>1496</v>
          </cell>
          <cell r="G500">
            <v>1</v>
          </cell>
          <cell r="H500">
            <v>1</v>
          </cell>
          <cell r="L500">
            <v>1</v>
          </cell>
          <cell r="N500">
            <v>1</v>
          </cell>
          <cell r="O500">
            <v>1</v>
          </cell>
          <cell r="S500">
            <v>1</v>
          </cell>
          <cell r="U500">
            <v>1</v>
          </cell>
          <cell r="V500">
            <v>1</v>
          </cell>
          <cell r="Z500">
            <v>1</v>
          </cell>
          <cell r="AA500">
            <v>1</v>
          </cell>
          <cell r="AB500">
            <v>1</v>
          </cell>
          <cell r="AC500">
            <v>1</v>
          </cell>
          <cell r="AG500">
            <v>1</v>
          </cell>
          <cell r="AI500">
            <v>1</v>
          </cell>
          <cell r="AJ500">
            <v>1</v>
          </cell>
          <cell r="AN500">
            <v>1</v>
          </cell>
          <cell r="AP500">
            <v>1</v>
          </cell>
          <cell r="AW500">
            <v>1</v>
          </cell>
          <cell r="AY500">
            <v>1</v>
          </cell>
          <cell r="BC500">
            <v>1</v>
          </cell>
          <cell r="BD500">
            <v>6</v>
          </cell>
          <cell r="BE500">
            <v>4</v>
          </cell>
          <cell r="BF500">
            <v>1</v>
          </cell>
          <cell r="BG500">
            <v>0</v>
          </cell>
          <cell r="BH500">
            <v>0</v>
          </cell>
          <cell r="BI500">
            <v>4</v>
          </cell>
        </row>
        <row r="501">
          <cell r="C501" t="str">
            <v>Nguyễn Thùy Linh</v>
          </cell>
          <cell r="D501">
            <v>1498</v>
          </cell>
          <cell r="G501">
            <v>1</v>
          </cell>
          <cell r="I501">
            <v>1</v>
          </cell>
          <cell r="N501">
            <v>1</v>
          </cell>
          <cell r="P501">
            <v>1</v>
          </cell>
          <cell r="U501">
            <v>1</v>
          </cell>
          <cell r="V501">
            <v>1</v>
          </cell>
          <cell r="Z501">
            <v>1</v>
          </cell>
          <cell r="AB501">
            <v>1</v>
          </cell>
          <cell r="AC501">
            <v>1</v>
          </cell>
          <cell r="AG501">
            <v>1</v>
          </cell>
          <cell r="AI501">
            <v>1</v>
          </cell>
          <cell r="AJ501">
            <v>1</v>
          </cell>
          <cell r="AN501">
            <v>1</v>
          </cell>
          <cell r="AP501">
            <v>1</v>
          </cell>
          <cell r="AW501">
            <v>1</v>
          </cell>
          <cell r="AY501">
            <v>1</v>
          </cell>
          <cell r="BC501">
            <v>0</v>
          </cell>
          <cell r="BD501">
            <v>6</v>
          </cell>
          <cell r="BE501">
            <v>3</v>
          </cell>
          <cell r="BF501">
            <v>2</v>
          </cell>
          <cell r="BG501">
            <v>0</v>
          </cell>
          <cell r="BH501">
            <v>0</v>
          </cell>
          <cell r="BI501">
            <v>3</v>
          </cell>
        </row>
        <row r="502">
          <cell r="C502" t="str">
            <v>Hoàng Tiến Linh</v>
          </cell>
          <cell r="D502">
            <v>1499</v>
          </cell>
          <cell r="E502" t="str">
            <v>BTCĐ</v>
          </cell>
          <cell r="N502">
            <v>1</v>
          </cell>
          <cell r="P502">
            <v>1</v>
          </cell>
          <cell r="U502">
            <v>1</v>
          </cell>
          <cell r="V502">
            <v>1</v>
          </cell>
          <cell r="Z502">
            <v>1</v>
          </cell>
          <cell r="AB502">
            <v>1</v>
          </cell>
          <cell r="AC502">
            <v>1</v>
          </cell>
          <cell r="AG502">
            <v>1</v>
          </cell>
          <cell r="AI502">
            <v>1</v>
          </cell>
          <cell r="AJ502">
            <v>1</v>
          </cell>
          <cell r="AN502">
            <v>1</v>
          </cell>
          <cell r="AP502">
            <v>1</v>
          </cell>
          <cell r="AW502">
            <v>1</v>
          </cell>
          <cell r="AY502">
            <v>1</v>
          </cell>
          <cell r="BC502">
            <v>0</v>
          </cell>
          <cell r="BD502">
            <v>6</v>
          </cell>
          <cell r="BE502">
            <v>3</v>
          </cell>
          <cell r="BF502">
            <v>2</v>
          </cell>
          <cell r="BG502">
            <v>0</v>
          </cell>
          <cell r="BH502">
            <v>0</v>
          </cell>
          <cell r="BI502">
            <v>3</v>
          </cell>
        </row>
        <row r="503">
          <cell r="C503" t="str">
            <v>Phạm Văn Thắng</v>
          </cell>
          <cell r="D503">
            <v>1500</v>
          </cell>
          <cell r="F503">
            <v>1</v>
          </cell>
          <cell r="G503">
            <v>1</v>
          </cell>
          <cell r="H503">
            <v>1</v>
          </cell>
          <cell r="L503">
            <v>1</v>
          </cell>
          <cell r="N503">
            <v>1</v>
          </cell>
          <cell r="P503">
            <v>1</v>
          </cell>
          <cell r="X503">
            <v>1</v>
          </cell>
          <cell r="AB503">
            <v>1</v>
          </cell>
          <cell r="AD503">
            <v>1</v>
          </cell>
          <cell r="AI503">
            <v>1</v>
          </cell>
          <cell r="AK503">
            <v>1</v>
          </cell>
          <cell r="AO503">
            <v>1</v>
          </cell>
          <cell r="AP503">
            <v>1</v>
          </cell>
          <cell r="AQ503">
            <v>1</v>
          </cell>
          <cell r="AU503">
            <v>1</v>
          </cell>
          <cell r="AW503">
            <v>1</v>
          </cell>
          <cell r="AY503">
            <v>1</v>
          </cell>
          <cell r="BC503">
            <v>1</v>
          </cell>
          <cell r="BD503">
            <v>5</v>
          </cell>
          <cell r="BE503">
            <v>1</v>
          </cell>
          <cell r="BF503">
            <v>4</v>
          </cell>
          <cell r="BG503">
            <v>1</v>
          </cell>
          <cell r="BH503">
            <v>0</v>
          </cell>
          <cell r="BI503">
            <v>1</v>
          </cell>
        </row>
        <row r="504">
          <cell r="C504" t="str">
            <v>Hà Xuân Bình</v>
          </cell>
          <cell r="D504">
            <v>1531</v>
          </cell>
          <cell r="E504" t="str">
            <v>Trưởng ban truyền thông 
và tuyển sinh</v>
          </cell>
          <cell r="G504">
            <v>1</v>
          </cell>
          <cell r="H504">
            <v>1</v>
          </cell>
          <cell r="L504">
            <v>1</v>
          </cell>
          <cell r="N504">
            <v>1</v>
          </cell>
          <cell r="O504">
            <v>1</v>
          </cell>
          <cell r="S504">
            <v>1</v>
          </cell>
          <cell r="U504">
            <v>1</v>
          </cell>
          <cell r="V504">
            <v>1</v>
          </cell>
          <cell r="Z504">
            <v>1</v>
          </cell>
          <cell r="AB504">
            <v>1</v>
          </cell>
          <cell r="AC504">
            <v>1</v>
          </cell>
          <cell r="AG504">
            <v>1</v>
          </cell>
          <cell r="AI504">
            <v>1</v>
          </cell>
          <cell r="AJ504">
            <v>1</v>
          </cell>
          <cell r="AN504">
            <v>1</v>
          </cell>
          <cell r="AP504">
            <v>1</v>
          </cell>
          <cell r="AQ504">
            <v>1</v>
          </cell>
          <cell r="AU504">
            <v>1</v>
          </cell>
          <cell r="AV504">
            <v>1</v>
          </cell>
          <cell r="AW504">
            <v>1</v>
          </cell>
          <cell r="AY504">
            <v>1</v>
          </cell>
          <cell r="BB504">
            <v>1</v>
          </cell>
          <cell r="BC504">
            <v>1</v>
          </cell>
          <cell r="BD504">
            <v>6</v>
          </cell>
          <cell r="BE504">
            <v>5</v>
          </cell>
          <cell r="BF504">
            <v>1</v>
          </cell>
          <cell r="BG504">
            <v>0</v>
          </cell>
          <cell r="BH504">
            <v>0</v>
          </cell>
          <cell r="BI504">
            <v>6</v>
          </cell>
        </row>
        <row r="505">
          <cell r="C505" t="str">
            <v>Nguyễn Hoàng Phương</v>
          </cell>
          <cell r="D505">
            <v>1756</v>
          </cell>
          <cell r="AW505">
            <v>1</v>
          </cell>
          <cell r="AY505">
            <v>1</v>
          </cell>
          <cell r="BC505">
            <v>0</v>
          </cell>
          <cell r="BD505">
            <v>1</v>
          </cell>
          <cell r="BE505">
            <v>0</v>
          </cell>
          <cell r="BF505">
            <v>1</v>
          </cell>
          <cell r="BG505">
            <v>0</v>
          </cell>
          <cell r="BH505">
            <v>0</v>
          </cell>
          <cell r="BI505">
            <v>0</v>
          </cell>
        </row>
        <row r="506">
          <cell r="C506" t="str">
            <v>Nguyễn Trọng Nhân</v>
          </cell>
          <cell r="D506">
            <v>1617</v>
          </cell>
          <cell r="AK506">
            <v>1</v>
          </cell>
          <cell r="AP506">
            <v>1</v>
          </cell>
          <cell r="AW506">
            <v>1</v>
          </cell>
          <cell r="AY506">
            <v>1</v>
          </cell>
          <cell r="BC506">
            <v>0</v>
          </cell>
          <cell r="BD506">
            <v>2</v>
          </cell>
          <cell r="BE506">
            <v>0</v>
          </cell>
          <cell r="BF506">
            <v>2</v>
          </cell>
          <cell r="BG506">
            <v>0</v>
          </cell>
          <cell r="BH506">
            <v>0</v>
          </cell>
          <cell r="BI506">
            <v>0</v>
          </cell>
        </row>
        <row r="507">
          <cell r="C507" t="str">
            <v>Mai Thanh Lan</v>
          </cell>
          <cell r="D507">
            <v>1501</v>
          </cell>
          <cell r="E507" t="str">
            <v>Trưởng phòng, BTCB</v>
          </cell>
          <cell r="F507">
            <v>1</v>
          </cell>
          <cell r="G507">
            <v>1</v>
          </cell>
          <cell r="H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G507">
            <v>1</v>
          </cell>
          <cell r="AH507">
            <v>1</v>
          </cell>
          <cell r="AI507">
            <v>1</v>
          </cell>
          <cell r="AJ507">
            <v>1</v>
          </cell>
          <cell r="AN507">
            <v>1</v>
          </cell>
          <cell r="AO507">
            <v>1</v>
          </cell>
          <cell r="AP507">
            <v>1</v>
          </cell>
          <cell r="AQ507">
            <v>1</v>
          </cell>
          <cell r="AU507">
            <v>1</v>
          </cell>
          <cell r="AW507">
            <v>1</v>
          </cell>
          <cell r="AY507">
            <v>1</v>
          </cell>
          <cell r="BC507">
            <v>4</v>
          </cell>
          <cell r="BD507">
            <v>5</v>
          </cell>
          <cell r="BE507">
            <v>4</v>
          </cell>
          <cell r="BF507">
            <v>1</v>
          </cell>
          <cell r="BG507">
            <v>0</v>
          </cell>
          <cell r="BH507">
            <v>0</v>
          </cell>
          <cell r="BI507">
            <v>4</v>
          </cell>
        </row>
        <row r="508">
          <cell r="C508" t="str">
            <v>Chu Việt Cường</v>
          </cell>
          <cell r="D508">
            <v>1502</v>
          </cell>
          <cell r="E508" t="str">
            <v>Phó Trưởng phòng, PBTCB</v>
          </cell>
          <cell r="G508">
            <v>1</v>
          </cell>
          <cell r="H508">
            <v>1</v>
          </cell>
          <cell r="L508">
            <v>1</v>
          </cell>
          <cell r="N508">
            <v>1</v>
          </cell>
          <cell r="O508">
            <v>1</v>
          </cell>
          <cell r="S508">
            <v>1</v>
          </cell>
          <cell r="U508">
            <v>1</v>
          </cell>
          <cell r="V508">
            <v>1</v>
          </cell>
          <cell r="Z508">
            <v>1</v>
          </cell>
          <cell r="AB508">
            <v>1</v>
          </cell>
          <cell r="AC508">
            <v>1</v>
          </cell>
          <cell r="AG508">
            <v>1</v>
          </cell>
          <cell r="AI508">
            <v>1</v>
          </cell>
          <cell r="AJ508">
            <v>1</v>
          </cell>
          <cell r="AN508">
            <v>1</v>
          </cell>
          <cell r="AP508">
            <v>1</v>
          </cell>
          <cell r="AQ508">
            <v>1</v>
          </cell>
          <cell r="AU508">
            <v>1</v>
          </cell>
          <cell r="AW508">
            <v>1</v>
          </cell>
          <cell r="AY508">
            <v>1</v>
          </cell>
          <cell r="BC508">
            <v>0</v>
          </cell>
          <cell r="BD508">
            <v>6</v>
          </cell>
          <cell r="BE508">
            <v>5</v>
          </cell>
          <cell r="BF508">
            <v>1</v>
          </cell>
          <cell r="BG508">
            <v>0</v>
          </cell>
          <cell r="BH508">
            <v>0</v>
          </cell>
          <cell r="BI508">
            <v>5</v>
          </cell>
        </row>
        <row r="509">
          <cell r="C509" t="str">
            <v>Lã Tiến Dũng</v>
          </cell>
          <cell r="D509">
            <v>1503</v>
          </cell>
          <cell r="E509" t="str">
            <v>Phó trưởng phòng, CUV</v>
          </cell>
          <cell r="G509">
            <v>1</v>
          </cell>
          <cell r="I509">
            <v>1</v>
          </cell>
          <cell r="N509">
            <v>1</v>
          </cell>
          <cell r="O509">
            <v>1</v>
          </cell>
          <cell r="S509">
            <v>1</v>
          </cell>
          <cell r="U509">
            <v>1</v>
          </cell>
          <cell r="V509">
            <v>1</v>
          </cell>
          <cell r="Z509">
            <v>1</v>
          </cell>
          <cell r="AB509">
            <v>1</v>
          </cell>
          <cell r="AC509">
            <v>1</v>
          </cell>
          <cell r="AG509">
            <v>1</v>
          </cell>
          <cell r="AI509">
            <v>1</v>
          </cell>
          <cell r="AJ509">
            <v>1</v>
          </cell>
          <cell r="AN509">
            <v>1</v>
          </cell>
          <cell r="AP509">
            <v>1</v>
          </cell>
          <cell r="AQ509">
            <v>1</v>
          </cell>
          <cell r="AU509">
            <v>1</v>
          </cell>
          <cell r="AV509">
            <v>1</v>
          </cell>
          <cell r="AW509">
            <v>1</v>
          </cell>
          <cell r="AX509">
            <v>1</v>
          </cell>
          <cell r="BC509">
            <v>1</v>
          </cell>
          <cell r="BD509">
            <v>6</v>
          </cell>
          <cell r="BE509">
            <v>6</v>
          </cell>
          <cell r="BF509">
            <v>0</v>
          </cell>
          <cell r="BG509">
            <v>0</v>
          </cell>
          <cell r="BH509">
            <v>0</v>
          </cell>
          <cell r="BI509">
            <v>5</v>
          </cell>
        </row>
        <row r="510">
          <cell r="C510" t="str">
            <v>Nguyễn Thị Huệ</v>
          </cell>
          <cell r="D510">
            <v>1504</v>
          </cell>
          <cell r="G510">
            <v>1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  <cell r="S510">
            <v>1</v>
          </cell>
          <cell r="T510">
            <v>1</v>
          </cell>
          <cell r="U510">
            <v>1</v>
          </cell>
          <cell r="V510">
            <v>1</v>
          </cell>
          <cell r="Z510">
            <v>1</v>
          </cell>
          <cell r="AB510">
            <v>1</v>
          </cell>
          <cell r="AC510">
            <v>1</v>
          </cell>
          <cell r="AG510">
            <v>1</v>
          </cell>
          <cell r="AI510">
            <v>1</v>
          </cell>
          <cell r="AJ510">
            <v>1</v>
          </cell>
          <cell r="AN510">
            <v>1</v>
          </cell>
          <cell r="AO510">
            <v>1</v>
          </cell>
          <cell r="AP510">
            <v>1</v>
          </cell>
          <cell r="AQ510">
            <v>1</v>
          </cell>
          <cell r="AU510">
            <v>1</v>
          </cell>
          <cell r="AW510">
            <v>1</v>
          </cell>
          <cell r="AY510">
            <v>1</v>
          </cell>
          <cell r="BC510">
            <v>3</v>
          </cell>
          <cell r="BD510">
            <v>6</v>
          </cell>
          <cell r="BE510">
            <v>5</v>
          </cell>
          <cell r="BF510">
            <v>1</v>
          </cell>
          <cell r="BG510">
            <v>0</v>
          </cell>
          <cell r="BH510">
            <v>0</v>
          </cell>
          <cell r="BI510">
            <v>5</v>
          </cell>
        </row>
        <row r="511">
          <cell r="C511" t="str">
            <v>Bùi Thanh Hải</v>
          </cell>
          <cell r="D511">
            <v>1505</v>
          </cell>
          <cell r="G511">
            <v>1</v>
          </cell>
          <cell r="H511">
            <v>1</v>
          </cell>
          <cell r="L511">
            <v>1</v>
          </cell>
          <cell r="N511">
            <v>1</v>
          </cell>
          <cell r="O511">
            <v>1</v>
          </cell>
          <cell r="S511">
            <v>1</v>
          </cell>
          <cell r="U511">
            <v>1</v>
          </cell>
          <cell r="V511">
            <v>1</v>
          </cell>
          <cell r="Z511">
            <v>1</v>
          </cell>
          <cell r="AB511">
            <v>1</v>
          </cell>
          <cell r="AC511">
            <v>1</v>
          </cell>
          <cell r="AG511">
            <v>1</v>
          </cell>
          <cell r="AI511">
            <v>1</v>
          </cell>
          <cell r="AJ511">
            <v>1</v>
          </cell>
          <cell r="AN511">
            <v>1</v>
          </cell>
          <cell r="AP511">
            <v>1</v>
          </cell>
          <cell r="AQ511">
            <v>1</v>
          </cell>
          <cell r="AU511">
            <v>1</v>
          </cell>
          <cell r="AV511">
            <v>1</v>
          </cell>
          <cell r="AW511">
            <v>1</v>
          </cell>
          <cell r="AX511">
            <v>1</v>
          </cell>
          <cell r="BB511">
            <v>1</v>
          </cell>
          <cell r="BC511">
            <v>1</v>
          </cell>
          <cell r="BD511">
            <v>6</v>
          </cell>
          <cell r="BE511">
            <v>6</v>
          </cell>
          <cell r="BF511">
            <v>0</v>
          </cell>
          <cell r="BG511">
            <v>0</v>
          </cell>
          <cell r="BH511">
            <v>0</v>
          </cell>
          <cell r="BI511">
            <v>6</v>
          </cell>
        </row>
        <row r="512">
          <cell r="C512" t="str">
            <v>Nguyễn Khánh Tùng</v>
          </cell>
          <cell r="D512">
            <v>1506</v>
          </cell>
          <cell r="G512">
            <v>1</v>
          </cell>
          <cell r="H512">
            <v>1</v>
          </cell>
          <cell r="L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E512">
            <v>1</v>
          </cell>
          <cell r="AP512">
            <v>1</v>
          </cell>
          <cell r="AZ512">
            <v>1</v>
          </cell>
          <cell r="BC512">
            <v>0</v>
          </cell>
          <cell r="BD512">
            <v>3</v>
          </cell>
          <cell r="BE512">
            <v>0</v>
          </cell>
          <cell r="BF512">
            <v>2</v>
          </cell>
          <cell r="BG512">
            <v>2</v>
          </cell>
          <cell r="BH512">
            <v>0</v>
          </cell>
          <cell r="BI512">
            <v>0</v>
          </cell>
        </row>
        <row r="513">
          <cell r="C513" t="str">
            <v>Nguyễn Thị Lan Anh</v>
          </cell>
          <cell r="D513">
            <v>1507</v>
          </cell>
          <cell r="E513" t="str">
            <v>TTCĐ</v>
          </cell>
          <cell r="G513">
            <v>1</v>
          </cell>
          <cell r="H513">
            <v>1</v>
          </cell>
          <cell r="L513">
            <v>1</v>
          </cell>
          <cell r="N513">
            <v>1</v>
          </cell>
          <cell r="O513">
            <v>1</v>
          </cell>
          <cell r="S513">
            <v>1</v>
          </cell>
          <cell r="U513">
            <v>1</v>
          </cell>
          <cell r="W513">
            <v>1</v>
          </cell>
          <cell r="AB513">
            <v>1</v>
          </cell>
          <cell r="AC513">
            <v>1</v>
          </cell>
          <cell r="AG513">
            <v>1</v>
          </cell>
          <cell r="AI513">
            <v>1</v>
          </cell>
          <cell r="AJ513">
            <v>1</v>
          </cell>
          <cell r="AN513">
            <v>1</v>
          </cell>
          <cell r="AP513">
            <v>1</v>
          </cell>
          <cell r="AQ513">
            <v>1</v>
          </cell>
          <cell r="AU513">
            <v>1</v>
          </cell>
          <cell r="AW513">
            <v>1</v>
          </cell>
          <cell r="AY513">
            <v>1</v>
          </cell>
          <cell r="BC513">
            <v>0</v>
          </cell>
          <cell r="BD513">
            <v>6</v>
          </cell>
          <cell r="BE513">
            <v>4</v>
          </cell>
          <cell r="BF513">
            <v>2</v>
          </cell>
          <cell r="BG513">
            <v>0</v>
          </cell>
          <cell r="BH513">
            <v>0</v>
          </cell>
          <cell r="BI513">
            <v>4</v>
          </cell>
        </row>
        <row r="514">
          <cell r="C514" t="str">
            <v>Nguyễn Thị Thùy Dung</v>
          </cell>
          <cell r="D514">
            <v>1556</v>
          </cell>
          <cell r="G514">
            <v>1</v>
          </cell>
          <cell r="H514">
            <v>1</v>
          </cell>
          <cell r="L514">
            <v>1</v>
          </cell>
          <cell r="N514">
            <v>1</v>
          </cell>
          <cell r="O514">
            <v>1</v>
          </cell>
          <cell r="S514">
            <v>1</v>
          </cell>
          <cell r="U514">
            <v>1</v>
          </cell>
          <cell r="V514">
            <v>1</v>
          </cell>
          <cell r="Z514">
            <v>1</v>
          </cell>
          <cell r="AB514">
            <v>1</v>
          </cell>
          <cell r="AD514">
            <v>1</v>
          </cell>
          <cell r="AI514">
            <v>1</v>
          </cell>
          <cell r="AJ514">
            <v>1</v>
          </cell>
          <cell r="AN514">
            <v>1</v>
          </cell>
          <cell r="AP514">
            <v>1</v>
          </cell>
          <cell r="AV514">
            <v>1</v>
          </cell>
          <cell r="AW514">
            <v>1</v>
          </cell>
          <cell r="AY514">
            <v>1</v>
          </cell>
          <cell r="BC514">
            <v>1</v>
          </cell>
          <cell r="BD514">
            <v>6</v>
          </cell>
          <cell r="BE514">
            <v>3</v>
          </cell>
          <cell r="BF514">
            <v>2</v>
          </cell>
          <cell r="BG514">
            <v>0</v>
          </cell>
          <cell r="BH514">
            <v>0</v>
          </cell>
          <cell r="BI514">
            <v>3</v>
          </cell>
        </row>
        <row r="515">
          <cell r="C515" t="str">
            <v>Đỗ Tất Thành</v>
          </cell>
          <cell r="D515">
            <v>1509</v>
          </cell>
          <cell r="AI515">
            <v>1</v>
          </cell>
          <cell r="AK515">
            <v>1</v>
          </cell>
          <cell r="AP515">
            <v>1</v>
          </cell>
          <cell r="AW515">
            <v>1</v>
          </cell>
          <cell r="AY515">
            <v>1</v>
          </cell>
          <cell r="BC515">
            <v>0</v>
          </cell>
          <cell r="BD515">
            <v>3</v>
          </cell>
          <cell r="BE515">
            <v>0</v>
          </cell>
          <cell r="BF515">
            <v>2</v>
          </cell>
          <cell r="BG515">
            <v>0</v>
          </cell>
          <cell r="BH515">
            <v>0</v>
          </cell>
          <cell r="BI515">
            <v>0</v>
          </cell>
        </row>
        <row r="516">
          <cell r="C516" t="str">
            <v>Trần Hà Như</v>
          </cell>
          <cell r="D516">
            <v>1510</v>
          </cell>
          <cell r="AP516">
            <v>1</v>
          </cell>
          <cell r="AW516">
            <v>1</v>
          </cell>
          <cell r="AY516">
            <v>1</v>
          </cell>
          <cell r="BC516">
            <v>0</v>
          </cell>
          <cell r="BD516">
            <v>2</v>
          </cell>
          <cell r="BE516">
            <v>0</v>
          </cell>
          <cell r="BF516">
            <v>1</v>
          </cell>
          <cell r="BG516">
            <v>0</v>
          </cell>
          <cell r="BH516">
            <v>0</v>
          </cell>
          <cell r="BI516">
            <v>0</v>
          </cell>
        </row>
        <row r="517">
          <cell r="C517" t="str">
            <v>Ngô Quốc Anh</v>
          </cell>
          <cell r="D517">
            <v>1645</v>
          </cell>
          <cell r="G517">
            <v>1</v>
          </cell>
          <cell r="I517">
            <v>1</v>
          </cell>
          <cell r="N517">
            <v>1</v>
          </cell>
          <cell r="P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G517">
            <v>1</v>
          </cell>
          <cell r="AH517">
            <v>1</v>
          </cell>
          <cell r="AI517">
            <v>1</v>
          </cell>
          <cell r="AJ517">
            <v>1</v>
          </cell>
          <cell r="AN517">
            <v>1</v>
          </cell>
          <cell r="AW517">
            <v>1</v>
          </cell>
          <cell r="AY517">
            <v>1</v>
          </cell>
          <cell r="BC517">
            <v>1</v>
          </cell>
          <cell r="BD517">
            <v>5</v>
          </cell>
          <cell r="BE517">
            <v>2</v>
          </cell>
          <cell r="BF517">
            <v>3</v>
          </cell>
          <cell r="BG517">
            <v>0</v>
          </cell>
          <cell r="BH517">
            <v>0</v>
          </cell>
          <cell r="BI517">
            <v>2</v>
          </cell>
        </row>
        <row r="518">
          <cell r="C518" t="str">
            <v>Phạm Thị Thu Thủy</v>
          </cell>
          <cell r="D518">
            <v>1511</v>
          </cell>
          <cell r="E518" t="str">
            <v>Trưởng phòng</v>
          </cell>
          <cell r="F518">
            <v>1</v>
          </cell>
          <cell r="G518">
            <v>1</v>
          </cell>
          <cell r="H518">
            <v>1</v>
          </cell>
          <cell r="L518">
            <v>1</v>
          </cell>
          <cell r="M518">
            <v>1</v>
          </cell>
          <cell r="N518">
            <v>1</v>
          </cell>
          <cell r="O518">
            <v>1</v>
          </cell>
          <cell r="S518">
            <v>1</v>
          </cell>
          <cell r="T518">
            <v>1</v>
          </cell>
          <cell r="U518">
            <v>1</v>
          </cell>
          <cell r="V518">
            <v>1</v>
          </cell>
          <cell r="Z518">
            <v>1</v>
          </cell>
          <cell r="AA518">
            <v>1</v>
          </cell>
          <cell r="AB518">
            <v>1</v>
          </cell>
          <cell r="AC518">
            <v>1</v>
          </cell>
          <cell r="AG518">
            <v>1</v>
          </cell>
          <cell r="AH518">
            <v>1</v>
          </cell>
          <cell r="AI518">
            <v>1</v>
          </cell>
          <cell r="AJ518">
            <v>1</v>
          </cell>
          <cell r="AN518">
            <v>1</v>
          </cell>
          <cell r="AP518">
            <v>1</v>
          </cell>
          <cell r="AQ518">
            <v>1</v>
          </cell>
          <cell r="AU518">
            <v>1</v>
          </cell>
          <cell r="AW518">
            <v>1</v>
          </cell>
          <cell r="AY518">
            <v>1</v>
          </cell>
          <cell r="BC518">
            <v>4</v>
          </cell>
          <cell r="BD518">
            <v>6</v>
          </cell>
          <cell r="BE518">
            <v>5</v>
          </cell>
          <cell r="BF518">
            <v>1</v>
          </cell>
          <cell r="BG518">
            <v>0</v>
          </cell>
          <cell r="BH518">
            <v>0</v>
          </cell>
          <cell r="BI518">
            <v>5</v>
          </cell>
        </row>
        <row r="519">
          <cell r="C519" t="str">
            <v>Đoàn Thị Thu Phương</v>
          </cell>
          <cell r="D519">
            <v>1513</v>
          </cell>
          <cell r="E519" t="str">
            <v>Phó Trưởng phòng</v>
          </cell>
          <cell r="F519">
            <v>1</v>
          </cell>
          <cell r="G519">
            <v>1</v>
          </cell>
          <cell r="H519">
            <v>1</v>
          </cell>
          <cell r="L519">
            <v>1</v>
          </cell>
          <cell r="N519">
            <v>1</v>
          </cell>
          <cell r="O519">
            <v>1</v>
          </cell>
          <cell r="S519">
            <v>1</v>
          </cell>
          <cell r="U519">
            <v>1</v>
          </cell>
          <cell r="V519">
            <v>1</v>
          </cell>
          <cell r="Z519">
            <v>1</v>
          </cell>
          <cell r="AB519">
            <v>1</v>
          </cell>
          <cell r="AC519">
            <v>1</v>
          </cell>
          <cell r="AG519">
            <v>1</v>
          </cell>
          <cell r="AI519">
            <v>1</v>
          </cell>
          <cell r="AJ519">
            <v>1</v>
          </cell>
          <cell r="AN519">
            <v>1</v>
          </cell>
          <cell r="AP519">
            <v>1</v>
          </cell>
          <cell r="AU519">
            <v>1</v>
          </cell>
          <cell r="AW519">
            <v>1</v>
          </cell>
          <cell r="AY519">
            <v>1</v>
          </cell>
          <cell r="BC519">
            <v>0</v>
          </cell>
          <cell r="BD519">
            <v>6</v>
          </cell>
          <cell r="BE519">
            <v>4</v>
          </cell>
          <cell r="BF519">
            <v>1</v>
          </cell>
          <cell r="BG519">
            <v>0</v>
          </cell>
          <cell r="BH519">
            <v>0</v>
          </cell>
          <cell r="BI519">
            <v>5</v>
          </cell>
        </row>
        <row r="520">
          <cell r="C520" t="str">
            <v>Nguyễn Thành Hưng</v>
          </cell>
          <cell r="D520">
            <v>1514</v>
          </cell>
          <cell r="E520" t="str">
            <v>Phó Trưởng phòng</v>
          </cell>
          <cell r="F520">
            <v>1</v>
          </cell>
          <cell r="G520">
            <v>1</v>
          </cell>
          <cell r="H520">
            <v>1</v>
          </cell>
          <cell r="L520">
            <v>1</v>
          </cell>
          <cell r="M520">
            <v>1</v>
          </cell>
          <cell r="N520">
            <v>1</v>
          </cell>
          <cell r="O520">
            <v>1</v>
          </cell>
          <cell r="S520">
            <v>1</v>
          </cell>
          <cell r="T520">
            <v>1</v>
          </cell>
          <cell r="U520">
            <v>1</v>
          </cell>
          <cell r="V520">
            <v>1</v>
          </cell>
          <cell r="Z520">
            <v>1</v>
          </cell>
          <cell r="AA520">
            <v>1</v>
          </cell>
          <cell r="AB520">
            <v>1</v>
          </cell>
          <cell r="AC520">
            <v>1</v>
          </cell>
          <cell r="AG520">
            <v>1</v>
          </cell>
          <cell r="AH520">
            <v>1</v>
          </cell>
          <cell r="AI520">
            <v>1</v>
          </cell>
          <cell r="AJ520">
            <v>1</v>
          </cell>
          <cell r="AN520">
            <v>1</v>
          </cell>
          <cell r="AO520">
            <v>1</v>
          </cell>
          <cell r="AP520">
            <v>1</v>
          </cell>
          <cell r="AQ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BC520">
            <v>6</v>
          </cell>
          <cell r="BD520">
            <v>6</v>
          </cell>
          <cell r="BE520">
            <v>6</v>
          </cell>
          <cell r="BF520">
            <v>0</v>
          </cell>
          <cell r="BG520">
            <v>0</v>
          </cell>
          <cell r="BH520">
            <v>0</v>
          </cell>
          <cell r="BI520">
            <v>5</v>
          </cell>
        </row>
        <row r="521">
          <cell r="C521" t="str">
            <v>Lê Thị Trâm Anh</v>
          </cell>
          <cell r="D521">
            <v>1132</v>
          </cell>
          <cell r="E521" t="str">
            <v>Phó Trưởng phòng</v>
          </cell>
          <cell r="G521">
            <v>1</v>
          </cell>
          <cell r="H521">
            <v>1</v>
          </cell>
          <cell r="L521">
            <v>1</v>
          </cell>
          <cell r="N521">
            <v>1</v>
          </cell>
          <cell r="P521">
            <v>1</v>
          </cell>
          <cell r="U521">
            <v>1</v>
          </cell>
          <cell r="W521">
            <v>1</v>
          </cell>
          <cell r="AB521">
            <v>1</v>
          </cell>
          <cell r="AC521">
            <v>1</v>
          </cell>
          <cell r="AG521">
            <v>1</v>
          </cell>
          <cell r="AH521">
            <v>1</v>
          </cell>
          <cell r="AI521">
            <v>1</v>
          </cell>
          <cell r="AJ521">
            <v>1</v>
          </cell>
          <cell r="AN521">
            <v>1</v>
          </cell>
          <cell r="AP521">
            <v>1</v>
          </cell>
          <cell r="AQ521">
            <v>1</v>
          </cell>
          <cell r="AU521">
            <v>1</v>
          </cell>
          <cell r="AW521">
            <v>1</v>
          </cell>
          <cell r="AY521">
            <v>1</v>
          </cell>
          <cell r="BC521">
            <v>1</v>
          </cell>
          <cell r="BD521">
            <v>6</v>
          </cell>
          <cell r="BE521">
            <v>3</v>
          </cell>
          <cell r="BF521">
            <v>3</v>
          </cell>
          <cell r="BG521">
            <v>0</v>
          </cell>
          <cell r="BH521">
            <v>0</v>
          </cell>
          <cell r="BI521">
            <v>3</v>
          </cell>
        </row>
        <row r="522">
          <cell r="C522" t="str">
            <v>Bùi Thanh Tùng</v>
          </cell>
          <cell r="D522">
            <v>1515</v>
          </cell>
          <cell r="G522">
            <v>1</v>
          </cell>
          <cell r="H522">
            <v>1</v>
          </cell>
          <cell r="L522">
            <v>1</v>
          </cell>
          <cell r="N522">
            <v>1</v>
          </cell>
          <cell r="O522">
            <v>1</v>
          </cell>
          <cell r="S522">
            <v>1</v>
          </cell>
          <cell r="U522">
            <v>1</v>
          </cell>
          <cell r="V522">
            <v>1</v>
          </cell>
          <cell r="Z522">
            <v>1</v>
          </cell>
          <cell r="AB522">
            <v>1</v>
          </cell>
          <cell r="AC522">
            <v>1</v>
          </cell>
          <cell r="AG522">
            <v>1</v>
          </cell>
          <cell r="AI522">
            <v>1</v>
          </cell>
          <cell r="AJ522">
            <v>1</v>
          </cell>
          <cell r="AN522">
            <v>1</v>
          </cell>
          <cell r="AP522">
            <v>1</v>
          </cell>
          <cell r="AW522">
            <v>1</v>
          </cell>
          <cell r="AY522">
            <v>1</v>
          </cell>
          <cell r="BC522">
            <v>0</v>
          </cell>
          <cell r="BD522">
            <v>6</v>
          </cell>
          <cell r="BE522">
            <v>4</v>
          </cell>
          <cell r="BF522">
            <v>1</v>
          </cell>
          <cell r="BG522">
            <v>0</v>
          </cell>
          <cell r="BH522">
            <v>0</v>
          </cell>
          <cell r="BI522">
            <v>4</v>
          </cell>
        </row>
        <row r="523">
          <cell r="C523" t="str">
            <v>Nguyễn Thị Hằng</v>
          </cell>
          <cell r="D523">
            <v>1516</v>
          </cell>
          <cell r="E523" t="str">
            <v>TTCĐ</v>
          </cell>
          <cell r="G523">
            <v>1</v>
          </cell>
          <cell r="H523">
            <v>1</v>
          </cell>
          <cell r="L523">
            <v>1</v>
          </cell>
          <cell r="N523">
            <v>1</v>
          </cell>
          <cell r="O523">
            <v>1</v>
          </cell>
          <cell r="S523">
            <v>1</v>
          </cell>
          <cell r="U523">
            <v>1</v>
          </cell>
          <cell r="V523">
            <v>1</v>
          </cell>
          <cell r="Z523">
            <v>1</v>
          </cell>
          <cell r="AB523">
            <v>1</v>
          </cell>
          <cell r="AC523">
            <v>1</v>
          </cell>
          <cell r="AG523">
            <v>1</v>
          </cell>
          <cell r="AH523">
            <v>1</v>
          </cell>
          <cell r="AI523">
            <v>1</v>
          </cell>
          <cell r="AJ523">
            <v>1</v>
          </cell>
          <cell r="AN523">
            <v>1</v>
          </cell>
          <cell r="AP523">
            <v>1</v>
          </cell>
          <cell r="AQ523">
            <v>1</v>
          </cell>
          <cell r="AU523">
            <v>1</v>
          </cell>
          <cell r="AW523">
            <v>1</v>
          </cell>
          <cell r="AY523">
            <v>1</v>
          </cell>
          <cell r="BC523">
            <v>1</v>
          </cell>
          <cell r="BD523">
            <v>6</v>
          </cell>
          <cell r="BE523">
            <v>5</v>
          </cell>
          <cell r="BF523">
            <v>1</v>
          </cell>
          <cell r="BG523">
            <v>0</v>
          </cell>
          <cell r="BH523">
            <v>0</v>
          </cell>
          <cell r="BI523">
            <v>5</v>
          </cell>
        </row>
        <row r="524">
          <cell r="C524" t="str">
            <v>Bùi Hồng Ngọc</v>
          </cell>
          <cell r="D524">
            <v>1517</v>
          </cell>
          <cell r="G524">
            <v>1</v>
          </cell>
          <cell r="H524">
            <v>1</v>
          </cell>
          <cell r="L524">
            <v>1</v>
          </cell>
          <cell r="N524">
            <v>1</v>
          </cell>
          <cell r="O524">
            <v>1</v>
          </cell>
          <cell r="S524">
            <v>1</v>
          </cell>
          <cell r="U524">
            <v>1</v>
          </cell>
          <cell r="W524">
            <v>1</v>
          </cell>
          <cell r="AB524">
            <v>1</v>
          </cell>
          <cell r="AC524">
            <v>1</v>
          </cell>
          <cell r="AG524">
            <v>1</v>
          </cell>
          <cell r="AI524">
            <v>1</v>
          </cell>
          <cell r="AJ524">
            <v>1</v>
          </cell>
          <cell r="AN524">
            <v>1</v>
          </cell>
          <cell r="AP524">
            <v>1</v>
          </cell>
          <cell r="AW524">
            <v>1</v>
          </cell>
          <cell r="AY524">
            <v>1</v>
          </cell>
          <cell r="BC524">
            <v>0</v>
          </cell>
          <cell r="BD524">
            <v>6</v>
          </cell>
          <cell r="BE524">
            <v>3</v>
          </cell>
          <cell r="BF524">
            <v>2</v>
          </cell>
          <cell r="BG524">
            <v>0</v>
          </cell>
          <cell r="BH524">
            <v>0</v>
          </cell>
          <cell r="BI524">
            <v>3</v>
          </cell>
        </row>
        <row r="525">
          <cell r="C525" t="str">
            <v>Nguyễn Thị Phương Dung</v>
          </cell>
          <cell r="D525">
            <v>1518</v>
          </cell>
          <cell r="E525" t="str">
            <v>BTCĐ</v>
          </cell>
          <cell r="G525">
            <v>1</v>
          </cell>
          <cell r="H525">
            <v>1</v>
          </cell>
          <cell r="L525">
            <v>1</v>
          </cell>
          <cell r="N525">
            <v>1</v>
          </cell>
          <cell r="O525">
            <v>1</v>
          </cell>
          <cell r="S525">
            <v>1</v>
          </cell>
          <cell r="U525">
            <v>1</v>
          </cell>
          <cell r="V525">
            <v>1</v>
          </cell>
          <cell r="Z525">
            <v>1</v>
          </cell>
          <cell r="AB525">
            <v>1</v>
          </cell>
          <cell r="AC525">
            <v>1</v>
          </cell>
          <cell r="AG525">
            <v>1</v>
          </cell>
          <cell r="AI525">
            <v>1</v>
          </cell>
          <cell r="AJ525">
            <v>1</v>
          </cell>
          <cell r="AN525">
            <v>1</v>
          </cell>
          <cell r="AO525">
            <v>1</v>
          </cell>
          <cell r="AP525">
            <v>1</v>
          </cell>
          <cell r="AQ525">
            <v>1</v>
          </cell>
          <cell r="AU525">
            <v>1</v>
          </cell>
          <cell r="AW525">
            <v>1</v>
          </cell>
          <cell r="AY525">
            <v>1</v>
          </cell>
          <cell r="BC525">
            <v>1</v>
          </cell>
          <cell r="BD525">
            <v>5</v>
          </cell>
          <cell r="BE525">
            <v>4</v>
          </cell>
          <cell r="BF525">
            <v>1</v>
          </cell>
          <cell r="BG525">
            <v>0</v>
          </cell>
          <cell r="BH525">
            <v>0</v>
          </cell>
          <cell r="BI525">
            <v>4</v>
          </cell>
        </row>
        <row r="526">
          <cell r="C526" t="str">
            <v>Phạm Thị Hằng</v>
          </cell>
          <cell r="D526">
            <v>1519</v>
          </cell>
          <cell r="G526">
            <v>1</v>
          </cell>
          <cell r="I526">
            <v>1</v>
          </cell>
          <cell r="N526">
            <v>1</v>
          </cell>
          <cell r="O526">
            <v>1</v>
          </cell>
          <cell r="S526">
            <v>1</v>
          </cell>
          <cell r="U526">
            <v>1</v>
          </cell>
          <cell r="V526">
            <v>1</v>
          </cell>
          <cell r="Z526">
            <v>1</v>
          </cell>
          <cell r="AB526">
            <v>1</v>
          </cell>
          <cell r="AC526">
            <v>1</v>
          </cell>
          <cell r="AG526">
            <v>1</v>
          </cell>
          <cell r="AI526">
            <v>1</v>
          </cell>
          <cell r="AJ526">
            <v>1</v>
          </cell>
          <cell r="AN526">
            <v>1</v>
          </cell>
          <cell r="AP526">
            <v>1</v>
          </cell>
          <cell r="AQ526">
            <v>1</v>
          </cell>
          <cell r="AU526">
            <v>1</v>
          </cell>
          <cell r="AV526">
            <v>1</v>
          </cell>
          <cell r="AW526">
            <v>1</v>
          </cell>
          <cell r="AX526">
            <v>1</v>
          </cell>
          <cell r="BB526">
            <v>1</v>
          </cell>
          <cell r="BC526">
            <v>1</v>
          </cell>
          <cell r="BD526">
            <v>6</v>
          </cell>
          <cell r="BE526">
            <v>6</v>
          </cell>
          <cell r="BF526">
            <v>0</v>
          </cell>
          <cell r="BG526">
            <v>0</v>
          </cell>
          <cell r="BH526">
            <v>0</v>
          </cell>
          <cell r="BI526">
            <v>6</v>
          </cell>
        </row>
        <row r="527">
          <cell r="C527" t="str">
            <v>Nguyễn Thị Thu Vân</v>
          </cell>
          <cell r="D527">
            <v>1520</v>
          </cell>
          <cell r="G527">
            <v>1</v>
          </cell>
          <cell r="I527">
            <v>1</v>
          </cell>
          <cell r="N527">
            <v>1</v>
          </cell>
          <cell r="O527">
            <v>1</v>
          </cell>
          <cell r="S527">
            <v>1</v>
          </cell>
          <cell r="U527">
            <v>1</v>
          </cell>
          <cell r="V527">
            <v>1</v>
          </cell>
          <cell r="Z527">
            <v>1</v>
          </cell>
          <cell r="AB527">
            <v>1</v>
          </cell>
          <cell r="AC527">
            <v>1</v>
          </cell>
          <cell r="AG527">
            <v>1</v>
          </cell>
          <cell r="AI527">
            <v>1</v>
          </cell>
          <cell r="AJ527">
            <v>1</v>
          </cell>
          <cell r="AN527">
            <v>1</v>
          </cell>
          <cell r="AP527">
            <v>1</v>
          </cell>
          <cell r="AW527">
            <v>1</v>
          </cell>
          <cell r="AY527">
            <v>1</v>
          </cell>
          <cell r="BC527">
            <v>0</v>
          </cell>
          <cell r="BD527">
            <v>6</v>
          </cell>
          <cell r="BE527">
            <v>4</v>
          </cell>
          <cell r="BF527">
            <v>1</v>
          </cell>
          <cell r="BG527">
            <v>0</v>
          </cell>
          <cell r="BH527">
            <v>0</v>
          </cell>
          <cell r="BI527">
            <v>4</v>
          </cell>
        </row>
        <row r="528">
          <cell r="C528" t="str">
            <v>Phan Thu Phương</v>
          </cell>
          <cell r="D528">
            <v>1521</v>
          </cell>
          <cell r="AI528">
            <v>1</v>
          </cell>
          <cell r="AP528">
            <v>1</v>
          </cell>
          <cell r="AW528">
            <v>1</v>
          </cell>
          <cell r="AY528">
            <v>1</v>
          </cell>
          <cell r="BC528">
            <v>0</v>
          </cell>
          <cell r="BD528">
            <v>3</v>
          </cell>
          <cell r="BE528">
            <v>0</v>
          </cell>
          <cell r="BF528">
            <v>1</v>
          </cell>
          <cell r="BG528">
            <v>0</v>
          </cell>
          <cell r="BH528">
            <v>0</v>
          </cell>
          <cell r="BI528">
            <v>0</v>
          </cell>
        </row>
        <row r="529">
          <cell r="C529" t="str">
            <v>Vũ Hạnh Huyền</v>
          </cell>
          <cell r="D529">
            <v>1522</v>
          </cell>
          <cell r="AD529">
            <v>1</v>
          </cell>
          <cell r="AI529">
            <v>1</v>
          </cell>
          <cell r="AK529">
            <v>1</v>
          </cell>
          <cell r="AP529">
            <v>1</v>
          </cell>
          <cell r="AW529">
            <v>1</v>
          </cell>
          <cell r="AY529">
            <v>1</v>
          </cell>
          <cell r="BC529">
            <v>0</v>
          </cell>
          <cell r="BD529">
            <v>3</v>
          </cell>
          <cell r="BE529">
            <v>0</v>
          </cell>
          <cell r="BF529">
            <v>3</v>
          </cell>
          <cell r="BG529">
            <v>0</v>
          </cell>
          <cell r="BH529">
            <v>0</v>
          </cell>
          <cell r="BI529">
            <v>0</v>
          </cell>
        </row>
        <row r="530">
          <cell r="C530" t="str">
            <v>Trần Thị Bích Hằng</v>
          </cell>
          <cell r="D530">
            <v>1523</v>
          </cell>
          <cell r="E530" t="str">
            <v>Trưởng phòng</v>
          </cell>
          <cell r="F530">
            <v>1</v>
          </cell>
          <cell r="G530">
            <v>1</v>
          </cell>
          <cell r="H530">
            <v>1</v>
          </cell>
          <cell r="L530">
            <v>1</v>
          </cell>
          <cell r="M530">
            <v>1</v>
          </cell>
          <cell r="N530">
            <v>1</v>
          </cell>
          <cell r="O530">
            <v>1</v>
          </cell>
          <cell r="S530">
            <v>1</v>
          </cell>
          <cell r="T530">
            <v>1</v>
          </cell>
          <cell r="U530">
            <v>1</v>
          </cell>
          <cell r="V530">
            <v>1</v>
          </cell>
          <cell r="Z530">
            <v>1</v>
          </cell>
          <cell r="AA530">
            <v>1</v>
          </cell>
          <cell r="AB530">
            <v>1</v>
          </cell>
          <cell r="AC530">
            <v>1</v>
          </cell>
          <cell r="AG530">
            <v>1</v>
          </cell>
          <cell r="AI530">
            <v>1</v>
          </cell>
          <cell r="AJ530">
            <v>1</v>
          </cell>
          <cell r="AN530">
            <v>1</v>
          </cell>
          <cell r="AO530">
            <v>1</v>
          </cell>
          <cell r="AP530">
            <v>1</v>
          </cell>
          <cell r="AQ530">
            <v>1</v>
          </cell>
          <cell r="AU530">
            <v>1</v>
          </cell>
          <cell r="AW530">
            <v>1</v>
          </cell>
          <cell r="AY530">
            <v>1</v>
          </cell>
          <cell r="BC530">
            <v>4</v>
          </cell>
          <cell r="BD530">
            <v>6</v>
          </cell>
          <cell r="BE530">
            <v>5</v>
          </cell>
          <cell r="BF530">
            <v>1</v>
          </cell>
          <cell r="BG530">
            <v>0</v>
          </cell>
          <cell r="BH530">
            <v>0</v>
          </cell>
          <cell r="BI530">
            <v>5</v>
          </cell>
        </row>
        <row r="531">
          <cell r="C531" t="str">
            <v>Ngô Thị Quỳnh Chi</v>
          </cell>
          <cell r="D531">
            <v>1524</v>
          </cell>
          <cell r="E531" t="str">
            <v>Phó Trưởng phòng</v>
          </cell>
          <cell r="F531">
            <v>1</v>
          </cell>
          <cell r="G531">
            <v>1</v>
          </cell>
          <cell r="H531">
            <v>1</v>
          </cell>
          <cell r="L531">
            <v>1</v>
          </cell>
          <cell r="N531">
            <v>1</v>
          </cell>
          <cell r="O531">
            <v>1</v>
          </cell>
          <cell r="S531">
            <v>1</v>
          </cell>
          <cell r="U531">
            <v>1</v>
          </cell>
          <cell r="V531">
            <v>1</v>
          </cell>
          <cell r="Z531">
            <v>1</v>
          </cell>
          <cell r="AA531">
            <v>1</v>
          </cell>
          <cell r="AB531">
            <v>1</v>
          </cell>
          <cell r="AC531">
            <v>1</v>
          </cell>
          <cell r="AG531">
            <v>1</v>
          </cell>
          <cell r="AI531">
            <v>1</v>
          </cell>
          <cell r="AJ531">
            <v>1</v>
          </cell>
          <cell r="AN531">
            <v>1</v>
          </cell>
          <cell r="AP531">
            <v>1</v>
          </cell>
          <cell r="AQ531">
            <v>1</v>
          </cell>
          <cell r="AU531">
            <v>1</v>
          </cell>
          <cell r="AV531">
            <v>1</v>
          </cell>
          <cell r="AW531">
            <v>1</v>
          </cell>
          <cell r="AY531">
            <v>1</v>
          </cell>
          <cell r="BB531">
            <v>1</v>
          </cell>
          <cell r="BC531">
            <v>2</v>
          </cell>
          <cell r="BD531">
            <v>6</v>
          </cell>
          <cell r="BE531">
            <v>5</v>
          </cell>
          <cell r="BF531">
            <v>1</v>
          </cell>
          <cell r="BG531">
            <v>0</v>
          </cell>
          <cell r="BH531">
            <v>0</v>
          </cell>
          <cell r="BI531">
            <v>6</v>
          </cell>
        </row>
        <row r="532">
          <cell r="C532" t="str">
            <v>Trần Ngọc Sinh</v>
          </cell>
          <cell r="D532">
            <v>1525</v>
          </cell>
          <cell r="E532" t="str">
            <v>Phó trưởng phòng, BTCB</v>
          </cell>
          <cell r="G532">
            <v>1</v>
          </cell>
          <cell r="H532">
            <v>1</v>
          </cell>
          <cell r="L532">
            <v>1</v>
          </cell>
          <cell r="N532">
            <v>1</v>
          </cell>
          <cell r="O532">
            <v>1</v>
          </cell>
          <cell r="S532">
            <v>1</v>
          </cell>
          <cell r="U532">
            <v>1</v>
          </cell>
          <cell r="V532">
            <v>1</v>
          </cell>
          <cell r="Z532">
            <v>1</v>
          </cell>
          <cell r="AB532">
            <v>1</v>
          </cell>
          <cell r="AC532">
            <v>1</v>
          </cell>
          <cell r="AG532">
            <v>1</v>
          </cell>
          <cell r="AI532">
            <v>1</v>
          </cell>
          <cell r="AJ532">
            <v>1</v>
          </cell>
          <cell r="AN532">
            <v>1</v>
          </cell>
          <cell r="AP532">
            <v>1</v>
          </cell>
          <cell r="AQ532">
            <v>1</v>
          </cell>
          <cell r="AU532">
            <v>1</v>
          </cell>
          <cell r="AW532">
            <v>1</v>
          </cell>
          <cell r="AY532">
            <v>1</v>
          </cell>
          <cell r="BC532">
            <v>0</v>
          </cell>
          <cell r="BD532">
            <v>5</v>
          </cell>
          <cell r="BE532">
            <v>4</v>
          </cell>
          <cell r="BF532">
            <v>1</v>
          </cell>
          <cell r="BG532">
            <v>0</v>
          </cell>
          <cell r="BH532">
            <v>0</v>
          </cell>
          <cell r="BI532">
            <v>4</v>
          </cell>
        </row>
        <row r="533">
          <cell r="C533" t="str">
            <v>Nguyễn Thị Mị Dung</v>
          </cell>
          <cell r="D533">
            <v>1563</v>
          </cell>
          <cell r="E533" t="str">
            <v>Phó trưởng phòng</v>
          </cell>
          <cell r="G533">
            <v>1</v>
          </cell>
          <cell r="H533">
            <v>1</v>
          </cell>
          <cell r="L533">
            <v>1</v>
          </cell>
          <cell r="N533">
            <v>1</v>
          </cell>
          <cell r="O533">
            <v>1</v>
          </cell>
          <cell r="S533">
            <v>1</v>
          </cell>
          <cell r="U533">
            <v>1</v>
          </cell>
          <cell r="W533">
            <v>1</v>
          </cell>
          <cell r="AB533">
            <v>1</v>
          </cell>
          <cell r="AC533">
            <v>1</v>
          </cell>
          <cell r="AG533">
            <v>1</v>
          </cell>
          <cell r="AI533">
            <v>1</v>
          </cell>
          <cell r="AJ533">
            <v>1</v>
          </cell>
          <cell r="AN533">
            <v>1</v>
          </cell>
          <cell r="AP533">
            <v>1</v>
          </cell>
          <cell r="AW533">
            <v>1</v>
          </cell>
          <cell r="AY533">
            <v>1</v>
          </cell>
          <cell r="BC533">
            <v>0</v>
          </cell>
          <cell r="BD533">
            <v>6</v>
          </cell>
          <cell r="BE533">
            <v>3</v>
          </cell>
          <cell r="BF533">
            <v>2</v>
          </cell>
          <cell r="BG533">
            <v>0</v>
          </cell>
          <cell r="BH533">
            <v>0</v>
          </cell>
          <cell r="BI533">
            <v>3</v>
          </cell>
        </row>
        <row r="534">
          <cell r="C534" t="str">
            <v>Hoàng Thùy Dương</v>
          </cell>
          <cell r="D534">
            <v>1527</v>
          </cell>
          <cell r="E534" t="str">
            <v>PBTCB</v>
          </cell>
          <cell r="G534">
            <v>1</v>
          </cell>
          <cell r="H534">
            <v>1</v>
          </cell>
          <cell r="L534">
            <v>1</v>
          </cell>
          <cell r="N534">
            <v>1</v>
          </cell>
          <cell r="O534">
            <v>1</v>
          </cell>
          <cell r="S534">
            <v>1</v>
          </cell>
          <cell r="U534">
            <v>1</v>
          </cell>
          <cell r="V534">
            <v>1</v>
          </cell>
          <cell r="Z534">
            <v>1</v>
          </cell>
          <cell r="AA534">
            <v>1</v>
          </cell>
          <cell r="AB534">
            <v>1</v>
          </cell>
          <cell r="AC534">
            <v>1</v>
          </cell>
          <cell r="AG534">
            <v>1</v>
          </cell>
          <cell r="AI534">
            <v>1</v>
          </cell>
          <cell r="AJ534">
            <v>1</v>
          </cell>
          <cell r="AN534">
            <v>1</v>
          </cell>
          <cell r="AP534">
            <v>1</v>
          </cell>
          <cell r="AQ534">
            <v>1</v>
          </cell>
          <cell r="AU534">
            <v>1</v>
          </cell>
          <cell r="AW534">
            <v>1</v>
          </cell>
          <cell r="AY534">
            <v>1</v>
          </cell>
          <cell r="BC534">
            <v>1</v>
          </cell>
          <cell r="BD534">
            <v>6</v>
          </cell>
          <cell r="BE534">
            <v>5</v>
          </cell>
          <cell r="BF534">
            <v>1</v>
          </cell>
          <cell r="BG534">
            <v>0</v>
          </cell>
          <cell r="BH534">
            <v>0</v>
          </cell>
          <cell r="BI534">
            <v>5</v>
          </cell>
        </row>
        <row r="535">
          <cell r="C535" t="str">
            <v>Nguyễn Tiến Đạo</v>
          </cell>
          <cell r="D535">
            <v>1528</v>
          </cell>
          <cell r="F535">
            <v>1</v>
          </cell>
          <cell r="G535">
            <v>1</v>
          </cell>
          <cell r="H535">
            <v>1</v>
          </cell>
          <cell r="L535">
            <v>1</v>
          </cell>
          <cell r="N535">
            <v>1</v>
          </cell>
          <cell r="O535">
            <v>1</v>
          </cell>
          <cell r="S535">
            <v>1</v>
          </cell>
          <cell r="U535">
            <v>1</v>
          </cell>
          <cell r="V535">
            <v>1</v>
          </cell>
          <cell r="Z535">
            <v>1</v>
          </cell>
          <cell r="AB535">
            <v>1</v>
          </cell>
          <cell r="AC535">
            <v>1</v>
          </cell>
          <cell r="AG535">
            <v>1</v>
          </cell>
          <cell r="AH535">
            <v>1</v>
          </cell>
          <cell r="AI535">
            <v>1</v>
          </cell>
          <cell r="AJ535">
            <v>1</v>
          </cell>
          <cell r="AN535">
            <v>1</v>
          </cell>
          <cell r="AP535">
            <v>1</v>
          </cell>
          <cell r="AQ535">
            <v>1</v>
          </cell>
          <cell r="AU535">
            <v>1</v>
          </cell>
          <cell r="AW535">
            <v>1</v>
          </cell>
          <cell r="AY535">
            <v>1</v>
          </cell>
          <cell r="BC535">
            <v>1</v>
          </cell>
          <cell r="BD535">
            <v>6</v>
          </cell>
          <cell r="BE535">
            <v>5</v>
          </cell>
          <cell r="BF535">
            <v>1</v>
          </cell>
          <cell r="BG535">
            <v>0</v>
          </cell>
          <cell r="BH535">
            <v>0</v>
          </cell>
          <cell r="BI535">
            <v>5</v>
          </cell>
        </row>
        <row r="536">
          <cell r="C536" t="str">
            <v>Nguyễn Thị Hường</v>
          </cell>
          <cell r="D536">
            <v>1529</v>
          </cell>
          <cell r="G536">
            <v>1</v>
          </cell>
          <cell r="I536">
            <v>1</v>
          </cell>
          <cell r="N536">
            <v>1</v>
          </cell>
          <cell r="O536">
            <v>1</v>
          </cell>
          <cell r="S536">
            <v>1</v>
          </cell>
          <cell r="U536">
            <v>1</v>
          </cell>
          <cell r="V536">
            <v>1</v>
          </cell>
          <cell r="Z536">
            <v>1</v>
          </cell>
          <cell r="AB536">
            <v>1</v>
          </cell>
          <cell r="AC536">
            <v>1</v>
          </cell>
          <cell r="AG536">
            <v>1</v>
          </cell>
          <cell r="AI536">
            <v>1</v>
          </cell>
          <cell r="AJ536">
            <v>1</v>
          </cell>
          <cell r="AN536">
            <v>1</v>
          </cell>
          <cell r="AP536">
            <v>1</v>
          </cell>
          <cell r="AW536">
            <v>1</v>
          </cell>
          <cell r="AY536">
            <v>1</v>
          </cell>
          <cell r="BC536">
            <v>0</v>
          </cell>
          <cell r="BD536">
            <v>6</v>
          </cell>
          <cell r="BE536">
            <v>4</v>
          </cell>
          <cell r="BF536">
            <v>1</v>
          </cell>
          <cell r="BG536">
            <v>0</v>
          </cell>
          <cell r="BH536">
            <v>0</v>
          </cell>
          <cell r="BI536">
            <v>4</v>
          </cell>
        </row>
        <row r="537">
          <cell r="C537" t="str">
            <v>Nông Thị Hồng Anh</v>
          </cell>
          <cell r="D537">
            <v>1533</v>
          </cell>
          <cell r="G537">
            <v>1</v>
          </cell>
          <cell r="H537">
            <v>1</v>
          </cell>
          <cell r="L537">
            <v>1</v>
          </cell>
          <cell r="N537">
            <v>1</v>
          </cell>
          <cell r="P537">
            <v>1</v>
          </cell>
          <cell r="U537">
            <v>1</v>
          </cell>
          <cell r="V537">
            <v>1</v>
          </cell>
          <cell r="Z537">
            <v>1</v>
          </cell>
          <cell r="AB537">
            <v>1</v>
          </cell>
          <cell r="AC537">
            <v>1</v>
          </cell>
          <cell r="AG537">
            <v>1</v>
          </cell>
          <cell r="AH537">
            <v>1</v>
          </cell>
          <cell r="AI537">
            <v>1</v>
          </cell>
          <cell r="AJ537">
            <v>1</v>
          </cell>
          <cell r="AN537">
            <v>1</v>
          </cell>
          <cell r="AP537">
            <v>1</v>
          </cell>
          <cell r="AQ537">
            <v>1</v>
          </cell>
          <cell r="AU537">
            <v>1</v>
          </cell>
          <cell r="AV537">
            <v>1</v>
          </cell>
          <cell r="AW537">
            <v>1</v>
          </cell>
          <cell r="AY537">
            <v>1</v>
          </cell>
          <cell r="BC537">
            <v>2</v>
          </cell>
          <cell r="BD537">
            <v>6</v>
          </cell>
          <cell r="BE537">
            <v>4</v>
          </cell>
          <cell r="BF537">
            <v>2</v>
          </cell>
          <cell r="BG537">
            <v>0</v>
          </cell>
          <cell r="BH537">
            <v>0</v>
          </cell>
          <cell r="BI537">
            <v>4</v>
          </cell>
        </row>
        <row r="538">
          <cell r="C538" t="str">
            <v>Vũ Mạnh Quyết</v>
          </cell>
          <cell r="D538">
            <v>1534</v>
          </cell>
          <cell r="E538" t="str">
            <v>BTCĐ</v>
          </cell>
          <cell r="F538">
            <v>1</v>
          </cell>
          <cell r="G538">
            <v>1</v>
          </cell>
          <cell r="H538">
            <v>1</v>
          </cell>
          <cell r="L538">
            <v>1</v>
          </cell>
          <cell r="N538">
            <v>1</v>
          </cell>
          <cell r="O538">
            <v>1</v>
          </cell>
          <cell r="S538">
            <v>1</v>
          </cell>
          <cell r="T538">
            <v>1</v>
          </cell>
          <cell r="U538">
            <v>1</v>
          </cell>
          <cell r="V538">
            <v>1</v>
          </cell>
          <cell r="Z538">
            <v>1</v>
          </cell>
          <cell r="AB538">
            <v>1</v>
          </cell>
          <cell r="AC538">
            <v>1</v>
          </cell>
          <cell r="AG538">
            <v>1</v>
          </cell>
          <cell r="AI538">
            <v>1</v>
          </cell>
          <cell r="AJ538">
            <v>1</v>
          </cell>
          <cell r="AN538">
            <v>1</v>
          </cell>
          <cell r="AP538">
            <v>1</v>
          </cell>
          <cell r="AW538">
            <v>1</v>
          </cell>
          <cell r="AY538">
            <v>1</v>
          </cell>
          <cell r="BC538">
            <v>1</v>
          </cell>
          <cell r="BD538">
            <v>5</v>
          </cell>
          <cell r="BE538">
            <v>3</v>
          </cell>
          <cell r="BF538">
            <v>1</v>
          </cell>
          <cell r="BG538">
            <v>0</v>
          </cell>
          <cell r="BH538">
            <v>0</v>
          </cell>
          <cell r="BI538">
            <v>3</v>
          </cell>
        </row>
        <row r="539">
          <cell r="C539" t="str">
            <v>Đỗ Thị Mai</v>
          </cell>
          <cell r="D539">
            <v>1535</v>
          </cell>
          <cell r="G539">
            <v>1</v>
          </cell>
          <cell r="I539">
            <v>1</v>
          </cell>
          <cell r="N539">
            <v>1</v>
          </cell>
          <cell r="O539">
            <v>1</v>
          </cell>
          <cell r="S539">
            <v>1</v>
          </cell>
          <cell r="U539">
            <v>1</v>
          </cell>
          <cell r="V539">
            <v>1</v>
          </cell>
          <cell r="Z539">
            <v>1</v>
          </cell>
          <cell r="AA539">
            <v>1</v>
          </cell>
          <cell r="AB539">
            <v>1</v>
          </cell>
          <cell r="AC539">
            <v>1</v>
          </cell>
          <cell r="AG539">
            <v>1</v>
          </cell>
          <cell r="AI539">
            <v>1</v>
          </cell>
          <cell r="AJ539">
            <v>1</v>
          </cell>
          <cell r="AN539">
            <v>1</v>
          </cell>
          <cell r="AP539">
            <v>1</v>
          </cell>
          <cell r="AW539">
            <v>1</v>
          </cell>
          <cell r="AY539">
            <v>1</v>
          </cell>
          <cell r="BC539">
            <v>1</v>
          </cell>
          <cell r="BD539">
            <v>5</v>
          </cell>
          <cell r="BE539">
            <v>3</v>
          </cell>
          <cell r="BF539">
            <v>1</v>
          </cell>
          <cell r="BG539">
            <v>0</v>
          </cell>
          <cell r="BH539">
            <v>0</v>
          </cell>
          <cell r="BI539">
            <v>3</v>
          </cell>
        </row>
        <row r="540">
          <cell r="C540" t="str">
            <v>Phạm Thị Nga</v>
          </cell>
          <cell r="D540">
            <v>1536</v>
          </cell>
          <cell r="G540">
            <v>1</v>
          </cell>
          <cell r="I540">
            <v>1</v>
          </cell>
          <cell r="N540">
            <v>1</v>
          </cell>
          <cell r="P540">
            <v>1</v>
          </cell>
          <cell r="U540">
            <v>1</v>
          </cell>
          <cell r="V540">
            <v>1</v>
          </cell>
          <cell r="Z540">
            <v>1</v>
          </cell>
          <cell r="AB540">
            <v>1</v>
          </cell>
          <cell r="AC540">
            <v>1</v>
          </cell>
          <cell r="AG540">
            <v>1</v>
          </cell>
          <cell r="AI540">
            <v>1</v>
          </cell>
          <cell r="AJ540">
            <v>1</v>
          </cell>
          <cell r="AN540">
            <v>1</v>
          </cell>
          <cell r="AP540">
            <v>1</v>
          </cell>
          <cell r="AW540">
            <v>1</v>
          </cell>
          <cell r="AY540">
            <v>1</v>
          </cell>
          <cell r="BC540">
            <v>0</v>
          </cell>
          <cell r="BD540">
            <v>6</v>
          </cell>
          <cell r="BE540">
            <v>3</v>
          </cell>
          <cell r="BF540">
            <v>2</v>
          </cell>
          <cell r="BG540">
            <v>0</v>
          </cell>
          <cell r="BH540">
            <v>0</v>
          </cell>
          <cell r="BI540">
            <v>3</v>
          </cell>
        </row>
        <row r="541">
          <cell r="C541" t="str">
            <v>Nguyễn Nhật Minh</v>
          </cell>
          <cell r="E541" t="str">
            <v>Nghỉ không lương 6 tháng</v>
          </cell>
          <cell r="J541">
            <v>1</v>
          </cell>
          <cell r="Q541">
            <v>1</v>
          </cell>
          <cell r="U541">
            <v>1</v>
          </cell>
          <cell r="W541">
            <v>1</v>
          </cell>
          <cell r="AB541">
            <v>1</v>
          </cell>
          <cell r="AD541">
            <v>1</v>
          </cell>
          <cell r="AI541">
            <v>1</v>
          </cell>
          <cell r="AK541">
            <v>1</v>
          </cell>
          <cell r="BC541">
            <v>0</v>
          </cell>
          <cell r="BD541">
            <v>3</v>
          </cell>
          <cell r="BE541">
            <v>0</v>
          </cell>
          <cell r="BF541">
            <v>3</v>
          </cell>
          <cell r="BG541">
            <v>1</v>
          </cell>
          <cell r="BH541">
            <v>0</v>
          </cell>
          <cell r="BI541">
            <v>0</v>
          </cell>
        </row>
        <row r="542">
          <cell r="C542" t="str">
            <v>Lê Đình Thành</v>
          </cell>
          <cell r="D542">
            <v>1538</v>
          </cell>
          <cell r="Q542">
            <v>1</v>
          </cell>
          <cell r="U542">
            <v>1</v>
          </cell>
          <cell r="W542">
            <v>1</v>
          </cell>
          <cell r="AB542">
            <v>1</v>
          </cell>
          <cell r="AD542">
            <v>1</v>
          </cell>
          <cell r="AI542">
            <v>1</v>
          </cell>
          <cell r="AK542">
            <v>1</v>
          </cell>
          <cell r="AP542">
            <v>1</v>
          </cell>
          <cell r="AW542">
            <v>1</v>
          </cell>
          <cell r="AY542">
            <v>1</v>
          </cell>
          <cell r="BC542">
            <v>0</v>
          </cell>
          <cell r="BD542">
            <v>5</v>
          </cell>
          <cell r="BE542">
            <v>0</v>
          </cell>
          <cell r="BF542">
            <v>4</v>
          </cell>
          <cell r="BG542">
            <v>1</v>
          </cell>
          <cell r="BH542">
            <v>0</v>
          </cell>
          <cell r="BI542">
            <v>0</v>
          </cell>
        </row>
        <row r="543">
          <cell r="C543" t="str">
            <v xml:space="preserve">Nguyễn Thị Hồng Chiêm </v>
          </cell>
          <cell r="D543">
            <v>1539</v>
          </cell>
          <cell r="G543">
            <v>1</v>
          </cell>
          <cell r="H543">
            <v>1</v>
          </cell>
          <cell r="L543">
            <v>1</v>
          </cell>
          <cell r="N543">
            <v>1</v>
          </cell>
          <cell r="O543">
            <v>1</v>
          </cell>
          <cell r="S543">
            <v>1</v>
          </cell>
          <cell r="U543">
            <v>1</v>
          </cell>
          <cell r="V543">
            <v>1</v>
          </cell>
          <cell r="Z543">
            <v>1</v>
          </cell>
          <cell r="AB543">
            <v>1</v>
          </cell>
          <cell r="AC543">
            <v>1</v>
          </cell>
          <cell r="AG543">
            <v>1</v>
          </cell>
          <cell r="AI543">
            <v>1</v>
          </cell>
          <cell r="AJ543">
            <v>1</v>
          </cell>
          <cell r="AN543">
            <v>1</v>
          </cell>
          <cell r="AP543">
            <v>1</v>
          </cell>
          <cell r="AW543">
            <v>1</v>
          </cell>
          <cell r="AY543">
            <v>1</v>
          </cell>
          <cell r="BC543">
            <v>0</v>
          </cell>
          <cell r="BD543">
            <v>6</v>
          </cell>
          <cell r="BE543">
            <v>4</v>
          </cell>
          <cell r="BF543">
            <v>1</v>
          </cell>
          <cell r="BG543">
            <v>0</v>
          </cell>
          <cell r="BH543">
            <v>0</v>
          </cell>
          <cell r="BI543">
            <v>4</v>
          </cell>
        </row>
        <row r="544">
          <cell r="C544" t="str">
            <v>Nguyễn Thị Thanh Huyền</v>
          </cell>
          <cell r="D544">
            <v>1540</v>
          </cell>
          <cell r="E544" t="str">
            <v>TTCĐ</v>
          </cell>
          <cell r="F544">
            <v>1</v>
          </cell>
          <cell r="G544">
            <v>1</v>
          </cell>
          <cell r="H544">
            <v>1</v>
          </cell>
          <cell r="L544">
            <v>1</v>
          </cell>
          <cell r="M544">
            <v>1</v>
          </cell>
          <cell r="N544">
            <v>1</v>
          </cell>
          <cell r="O544">
            <v>1</v>
          </cell>
          <cell r="S544">
            <v>1</v>
          </cell>
          <cell r="U544">
            <v>1</v>
          </cell>
          <cell r="V544">
            <v>1</v>
          </cell>
          <cell r="Z544">
            <v>1</v>
          </cell>
          <cell r="AB544">
            <v>1</v>
          </cell>
          <cell r="AC544">
            <v>1</v>
          </cell>
          <cell r="AG544">
            <v>1</v>
          </cell>
          <cell r="AI544">
            <v>1</v>
          </cell>
          <cell r="AJ544">
            <v>1</v>
          </cell>
          <cell r="AN544">
            <v>1</v>
          </cell>
          <cell r="AO544">
            <v>1</v>
          </cell>
          <cell r="AP544">
            <v>1</v>
          </cell>
          <cell r="AQ544">
            <v>1</v>
          </cell>
          <cell r="AU544">
            <v>1</v>
          </cell>
          <cell r="AW544">
            <v>1</v>
          </cell>
          <cell r="AY544">
            <v>1</v>
          </cell>
          <cell r="BC544">
            <v>1</v>
          </cell>
          <cell r="BD544">
            <v>5</v>
          </cell>
          <cell r="BE544">
            <v>4</v>
          </cell>
          <cell r="BF544">
            <v>1</v>
          </cell>
          <cell r="BG544">
            <v>0</v>
          </cell>
          <cell r="BH544">
            <v>0</v>
          </cell>
          <cell r="BI544">
            <v>4</v>
          </cell>
        </row>
        <row r="545">
          <cell r="C545" t="str">
            <v>Trần Thị Hoàn</v>
          </cell>
          <cell r="D545">
            <v>1541</v>
          </cell>
          <cell r="G545">
            <v>1</v>
          </cell>
          <cell r="I545">
            <v>1</v>
          </cell>
          <cell r="N545">
            <v>1</v>
          </cell>
          <cell r="P545">
            <v>1</v>
          </cell>
          <cell r="U545">
            <v>1</v>
          </cell>
          <cell r="W545">
            <v>1</v>
          </cell>
          <cell r="AB545">
            <v>1</v>
          </cell>
          <cell r="AD545">
            <v>1</v>
          </cell>
          <cell r="AI545">
            <v>1</v>
          </cell>
          <cell r="AJ545">
            <v>1</v>
          </cell>
          <cell r="AN545">
            <v>1</v>
          </cell>
          <cell r="AP545">
            <v>1</v>
          </cell>
          <cell r="AV545">
            <v>1</v>
          </cell>
          <cell r="AW545">
            <v>1</v>
          </cell>
          <cell r="AX545">
            <v>1</v>
          </cell>
          <cell r="BB545">
            <v>1</v>
          </cell>
          <cell r="BC545">
            <v>1</v>
          </cell>
          <cell r="BD545">
            <v>6</v>
          </cell>
          <cell r="BE545">
            <v>2</v>
          </cell>
          <cell r="BF545">
            <v>3</v>
          </cell>
          <cell r="BG545">
            <v>0</v>
          </cell>
          <cell r="BH545">
            <v>0</v>
          </cell>
          <cell r="BI545">
            <v>2</v>
          </cell>
        </row>
        <row r="546">
          <cell r="C546" t="str">
            <v>Nguyễn Thị Hồng Thủy</v>
          </cell>
          <cell r="D546">
            <v>1543</v>
          </cell>
          <cell r="G546">
            <v>1</v>
          </cell>
          <cell r="I546">
            <v>1</v>
          </cell>
          <cell r="N546">
            <v>1</v>
          </cell>
          <cell r="O546">
            <v>1</v>
          </cell>
          <cell r="S546">
            <v>1</v>
          </cell>
          <cell r="U546">
            <v>1</v>
          </cell>
          <cell r="V546">
            <v>1</v>
          </cell>
          <cell r="Z546">
            <v>1</v>
          </cell>
          <cell r="AB546">
            <v>1</v>
          </cell>
          <cell r="AC546">
            <v>1</v>
          </cell>
          <cell r="AG546">
            <v>1</v>
          </cell>
          <cell r="AI546">
            <v>1</v>
          </cell>
          <cell r="AJ546">
            <v>1</v>
          </cell>
          <cell r="AN546">
            <v>1</v>
          </cell>
          <cell r="AP546">
            <v>1</v>
          </cell>
          <cell r="AV546">
            <v>1</v>
          </cell>
          <cell r="AW546">
            <v>1</v>
          </cell>
          <cell r="AX546">
            <v>1</v>
          </cell>
          <cell r="BB546">
            <v>1</v>
          </cell>
          <cell r="BC546">
            <v>1</v>
          </cell>
          <cell r="BD546">
            <v>6</v>
          </cell>
          <cell r="BE546">
            <v>5</v>
          </cell>
          <cell r="BF546">
            <v>0</v>
          </cell>
          <cell r="BG546">
            <v>0</v>
          </cell>
          <cell r="BH546">
            <v>0</v>
          </cell>
          <cell r="BI546">
            <v>5</v>
          </cell>
        </row>
        <row r="547">
          <cell r="C547" t="str">
            <v>Trần Thị Thu Thùy</v>
          </cell>
          <cell r="D547">
            <v>1568</v>
          </cell>
          <cell r="AK547">
            <v>1</v>
          </cell>
          <cell r="AP547">
            <v>1</v>
          </cell>
          <cell r="AW547">
            <v>1</v>
          </cell>
          <cell r="AY547">
            <v>1</v>
          </cell>
          <cell r="BC547">
            <v>0</v>
          </cell>
          <cell r="BD547">
            <v>2</v>
          </cell>
          <cell r="BE547">
            <v>0</v>
          </cell>
          <cell r="BF547">
            <v>2</v>
          </cell>
          <cell r="BG547">
            <v>0</v>
          </cell>
          <cell r="BH547">
            <v>0</v>
          </cell>
          <cell r="BI547">
            <v>0</v>
          </cell>
        </row>
        <row r="548">
          <cell r="C548" t="str">
            <v>Vũ Thị Mai Thanh</v>
          </cell>
          <cell r="D548">
            <v>1565</v>
          </cell>
          <cell r="G548">
            <v>1</v>
          </cell>
          <cell r="H548">
            <v>1</v>
          </cell>
          <cell r="L548">
            <v>1</v>
          </cell>
          <cell r="N548">
            <v>1</v>
          </cell>
          <cell r="O548">
            <v>1</v>
          </cell>
          <cell r="S548">
            <v>1</v>
          </cell>
          <cell r="U548">
            <v>1</v>
          </cell>
          <cell r="V548">
            <v>1</v>
          </cell>
          <cell r="Z548">
            <v>1</v>
          </cell>
          <cell r="AB548">
            <v>1</v>
          </cell>
          <cell r="AC548">
            <v>1</v>
          </cell>
          <cell r="AG548">
            <v>1</v>
          </cell>
          <cell r="AI548">
            <v>1</v>
          </cell>
          <cell r="AJ548">
            <v>1</v>
          </cell>
          <cell r="AN548">
            <v>1</v>
          </cell>
          <cell r="AP548">
            <v>1</v>
          </cell>
          <cell r="AQ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BB548">
            <v>1</v>
          </cell>
          <cell r="BC548">
            <v>1</v>
          </cell>
          <cell r="BD548">
            <v>5</v>
          </cell>
          <cell r="BE548">
            <v>5</v>
          </cell>
          <cell r="BF548">
            <v>0</v>
          </cell>
          <cell r="BG548">
            <v>0</v>
          </cell>
          <cell r="BH548">
            <v>0</v>
          </cell>
          <cell r="BI548">
            <v>5</v>
          </cell>
        </row>
        <row r="549">
          <cell r="C549" t="str">
            <v>Đỗ Mạnh Hà</v>
          </cell>
          <cell r="D549">
            <v>1703</v>
          </cell>
          <cell r="AI549">
            <v>1</v>
          </cell>
          <cell r="AK549">
            <v>1</v>
          </cell>
          <cell r="AP549">
            <v>1</v>
          </cell>
          <cell r="AW549">
            <v>1</v>
          </cell>
          <cell r="AY549">
            <v>1</v>
          </cell>
          <cell r="BC549">
            <v>0</v>
          </cell>
          <cell r="BD549">
            <v>3</v>
          </cell>
          <cell r="BE549">
            <v>0</v>
          </cell>
          <cell r="BF549">
            <v>2</v>
          </cell>
          <cell r="BG549">
            <v>0</v>
          </cell>
          <cell r="BH549">
            <v>0</v>
          </cell>
          <cell r="BI549">
            <v>0</v>
          </cell>
        </row>
        <row r="550">
          <cell r="C550" t="str">
            <v>Vũ Thanh Bình</v>
          </cell>
          <cell r="D550">
            <v>1512</v>
          </cell>
          <cell r="E550" t="str">
            <v>Chánh văn phòng</v>
          </cell>
          <cell r="G550">
            <v>1</v>
          </cell>
          <cell r="H550">
            <v>1</v>
          </cell>
          <cell r="L550">
            <v>1</v>
          </cell>
          <cell r="N550">
            <v>1</v>
          </cell>
          <cell r="O550">
            <v>1</v>
          </cell>
          <cell r="S550">
            <v>1</v>
          </cell>
          <cell r="U550">
            <v>1</v>
          </cell>
          <cell r="V550">
            <v>1</v>
          </cell>
          <cell r="Z550">
            <v>1</v>
          </cell>
          <cell r="AB550">
            <v>1</v>
          </cell>
          <cell r="AC550">
            <v>1</v>
          </cell>
          <cell r="AG550">
            <v>1</v>
          </cell>
          <cell r="AI550">
            <v>1</v>
          </cell>
          <cell r="AJ550">
            <v>1</v>
          </cell>
          <cell r="AN550">
            <v>1</v>
          </cell>
          <cell r="AP550">
            <v>1</v>
          </cell>
          <cell r="AQ550">
            <v>1</v>
          </cell>
          <cell r="AW550">
            <v>1</v>
          </cell>
          <cell r="AY550">
            <v>1</v>
          </cell>
          <cell r="BC550">
            <v>0</v>
          </cell>
          <cell r="BD550">
            <v>6</v>
          </cell>
          <cell r="BE550">
            <v>5</v>
          </cell>
          <cell r="BF550">
            <v>1</v>
          </cell>
          <cell r="BG550">
            <v>0</v>
          </cell>
          <cell r="BH550">
            <v>0</v>
          </cell>
          <cell r="BI550">
            <v>4</v>
          </cell>
        </row>
        <row r="551">
          <cell r="C551" t="str">
            <v>Hoàng Thanh Tùng</v>
          </cell>
          <cell r="D551">
            <v>1545</v>
          </cell>
          <cell r="E551" t="str">
            <v>Phó Chánh văn phòng</v>
          </cell>
          <cell r="G551">
            <v>1</v>
          </cell>
          <cell r="H551">
            <v>1</v>
          </cell>
          <cell r="L551">
            <v>1</v>
          </cell>
          <cell r="N551">
            <v>1</v>
          </cell>
          <cell r="O551">
            <v>1</v>
          </cell>
          <cell r="S551">
            <v>1</v>
          </cell>
          <cell r="U551">
            <v>1</v>
          </cell>
          <cell r="V551">
            <v>1</v>
          </cell>
          <cell r="Z551">
            <v>1</v>
          </cell>
          <cell r="AB551">
            <v>1</v>
          </cell>
          <cell r="AC551">
            <v>1</v>
          </cell>
          <cell r="AG551">
            <v>1</v>
          </cell>
          <cell r="AI551">
            <v>1</v>
          </cell>
          <cell r="AJ551">
            <v>1</v>
          </cell>
          <cell r="AN551">
            <v>1</v>
          </cell>
          <cell r="AP551">
            <v>1</v>
          </cell>
          <cell r="AQ551">
            <v>1</v>
          </cell>
          <cell r="AU551">
            <v>1</v>
          </cell>
          <cell r="AV551">
            <v>1</v>
          </cell>
          <cell r="AW551">
            <v>1</v>
          </cell>
          <cell r="AX551">
            <v>1</v>
          </cell>
          <cell r="BB551">
            <v>1</v>
          </cell>
          <cell r="BC551">
            <v>1</v>
          </cell>
          <cell r="BD551">
            <v>6</v>
          </cell>
          <cell r="BE551">
            <v>6</v>
          </cell>
          <cell r="BF551">
            <v>0</v>
          </cell>
          <cell r="BG551">
            <v>0</v>
          </cell>
          <cell r="BH551">
            <v>0</v>
          </cell>
          <cell r="BI551">
            <v>6</v>
          </cell>
        </row>
        <row r="552">
          <cell r="C552" t="str">
            <v>Trần Minh Đức</v>
          </cell>
          <cell r="D552">
            <v>1546</v>
          </cell>
          <cell r="G552">
            <v>1</v>
          </cell>
          <cell r="I552">
            <v>1</v>
          </cell>
          <cell r="N552">
            <v>1</v>
          </cell>
          <cell r="O552">
            <v>1</v>
          </cell>
          <cell r="S552">
            <v>1</v>
          </cell>
          <cell r="X552">
            <v>1</v>
          </cell>
          <cell r="AB552">
            <v>1</v>
          </cell>
          <cell r="AC552">
            <v>1</v>
          </cell>
          <cell r="AG552">
            <v>1</v>
          </cell>
          <cell r="AI552">
            <v>1</v>
          </cell>
          <cell r="AJ552">
            <v>1</v>
          </cell>
          <cell r="AN552">
            <v>1</v>
          </cell>
          <cell r="AP552">
            <v>1</v>
          </cell>
          <cell r="AW552">
            <v>1</v>
          </cell>
          <cell r="AY552">
            <v>1</v>
          </cell>
          <cell r="BC552">
            <v>0</v>
          </cell>
          <cell r="BD552">
            <v>5</v>
          </cell>
          <cell r="BE552">
            <v>3</v>
          </cell>
          <cell r="BF552">
            <v>1</v>
          </cell>
          <cell r="BG552">
            <v>1</v>
          </cell>
          <cell r="BH552">
            <v>0</v>
          </cell>
          <cell r="BI552">
            <v>3</v>
          </cell>
        </row>
        <row r="553">
          <cell r="C553" t="str">
            <v>Đỗ Thị Mai</v>
          </cell>
          <cell r="D553">
            <v>1547</v>
          </cell>
          <cell r="G553">
            <v>1</v>
          </cell>
          <cell r="H553">
            <v>1</v>
          </cell>
          <cell r="L553">
            <v>1</v>
          </cell>
          <cell r="N553">
            <v>1</v>
          </cell>
          <cell r="O553">
            <v>1</v>
          </cell>
          <cell r="S553">
            <v>1</v>
          </cell>
          <cell r="U553">
            <v>1</v>
          </cell>
          <cell r="V553">
            <v>1</v>
          </cell>
          <cell r="Z553">
            <v>1</v>
          </cell>
          <cell r="AB553">
            <v>1</v>
          </cell>
          <cell r="AC553">
            <v>1</v>
          </cell>
          <cell r="AG553">
            <v>1</v>
          </cell>
          <cell r="AH553">
            <v>1</v>
          </cell>
          <cell r="AI553">
            <v>1</v>
          </cell>
          <cell r="AJ553">
            <v>1</v>
          </cell>
          <cell r="AN553">
            <v>1</v>
          </cell>
          <cell r="AP553">
            <v>1</v>
          </cell>
          <cell r="AQ553">
            <v>1</v>
          </cell>
          <cell r="AU553">
            <v>1</v>
          </cell>
          <cell r="AW553">
            <v>1</v>
          </cell>
          <cell r="AY553">
            <v>1</v>
          </cell>
          <cell r="BC553">
            <v>1</v>
          </cell>
          <cell r="BD553">
            <v>6</v>
          </cell>
          <cell r="BE553">
            <v>5</v>
          </cell>
          <cell r="BF553">
            <v>1</v>
          </cell>
          <cell r="BG553">
            <v>0</v>
          </cell>
          <cell r="BH553">
            <v>0</v>
          </cell>
          <cell r="BI553">
            <v>5</v>
          </cell>
        </row>
        <row r="554">
          <cell r="C554" t="str">
            <v>Nguyễn Xuân Thành</v>
          </cell>
          <cell r="D554">
            <v>1548</v>
          </cell>
          <cell r="G554">
            <v>1</v>
          </cell>
          <cell r="H554">
            <v>1</v>
          </cell>
          <cell r="L554">
            <v>1</v>
          </cell>
          <cell r="N554">
            <v>1</v>
          </cell>
          <cell r="O554">
            <v>1</v>
          </cell>
          <cell r="S554">
            <v>1</v>
          </cell>
          <cell r="U554">
            <v>1</v>
          </cell>
          <cell r="V554">
            <v>1</v>
          </cell>
          <cell r="Z554">
            <v>1</v>
          </cell>
          <cell r="AB554">
            <v>1</v>
          </cell>
          <cell r="AC554">
            <v>1</v>
          </cell>
          <cell r="AG554">
            <v>1</v>
          </cell>
          <cell r="AI554">
            <v>1</v>
          </cell>
          <cell r="AJ554">
            <v>1</v>
          </cell>
          <cell r="AN554">
            <v>1</v>
          </cell>
          <cell r="AP554">
            <v>1</v>
          </cell>
          <cell r="AQ554">
            <v>1</v>
          </cell>
          <cell r="AU554">
            <v>1</v>
          </cell>
          <cell r="AW554">
            <v>1</v>
          </cell>
          <cell r="AY554">
            <v>1</v>
          </cell>
          <cell r="BC554">
            <v>0</v>
          </cell>
          <cell r="BD554">
            <v>6</v>
          </cell>
          <cell r="BE554">
            <v>5</v>
          </cell>
          <cell r="BF554">
            <v>1</v>
          </cell>
          <cell r="BG554">
            <v>0</v>
          </cell>
          <cell r="BH554">
            <v>0</v>
          </cell>
          <cell r="BI554">
            <v>5</v>
          </cell>
        </row>
        <row r="555">
          <cell r="C555" t="str">
            <v>Tô Thanh Sơn</v>
          </cell>
          <cell r="D555">
            <v>1549</v>
          </cell>
          <cell r="G555">
            <v>1</v>
          </cell>
          <cell r="I555">
            <v>1</v>
          </cell>
          <cell r="N555">
            <v>1</v>
          </cell>
          <cell r="O555">
            <v>1</v>
          </cell>
          <cell r="S555">
            <v>1</v>
          </cell>
          <cell r="U555">
            <v>1</v>
          </cell>
          <cell r="V555">
            <v>1</v>
          </cell>
          <cell r="Z555">
            <v>1</v>
          </cell>
          <cell r="AB555">
            <v>1</v>
          </cell>
          <cell r="AC555">
            <v>1</v>
          </cell>
          <cell r="AG555">
            <v>1</v>
          </cell>
          <cell r="AI555">
            <v>1</v>
          </cell>
          <cell r="AJ555">
            <v>1</v>
          </cell>
          <cell r="AN555">
            <v>1</v>
          </cell>
          <cell r="AP555">
            <v>1</v>
          </cell>
          <cell r="AW555">
            <v>1</v>
          </cell>
          <cell r="AY555">
            <v>1</v>
          </cell>
          <cell r="BC555">
            <v>0</v>
          </cell>
          <cell r="BD555">
            <v>6</v>
          </cell>
          <cell r="BE555">
            <v>4</v>
          </cell>
          <cell r="BF555">
            <v>1</v>
          </cell>
          <cell r="BG555">
            <v>0</v>
          </cell>
          <cell r="BH555">
            <v>0</v>
          </cell>
          <cell r="BI555">
            <v>4</v>
          </cell>
        </row>
        <row r="556">
          <cell r="C556" t="str">
            <v>Lương Khắc Luyện</v>
          </cell>
          <cell r="D556">
            <v>1550</v>
          </cell>
          <cell r="G556">
            <v>1</v>
          </cell>
          <cell r="H556">
            <v>1</v>
          </cell>
          <cell r="L556">
            <v>1</v>
          </cell>
          <cell r="M556">
            <v>1</v>
          </cell>
          <cell r="N556">
            <v>1</v>
          </cell>
          <cell r="O556">
            <v>1</v>
          </cell>
          <cell r="S556">
            <v>1</v>
          </cell>
          <cell r="U556">
            <v>1</v>
          </cell>
          <cell r="V556">
            <v>1</v>
          </cell>
          <cell r="Z556">
            <v>1</v>
          </cell>
          <cell r="AA556">
            <v>1</v>
          </cell>
          <cell r="AB556">
            <v>1</v>
          </cell>
          <cell r="AC556">
            <v>1</v>
          </cell>
          <cell r="AG556">
            <v>1</v>
          </cell>
          <cell r="AI556">
            <v>1</v>
          </cell>
          <cell r="AJ556">
            <v>1</v>
          </cell>
          <cell r="AN556">
            <v>1</v>
          </cell>
          <cell r="AP556">
            <v>1</v>
          </cell>
          <cell r="AW556">
            <v>1</v>
          </cell>
          <cell r="AY556">
            <v>1</v>
          </cell>
          <cell r="BC556">
            <v>2</v>
          </cell>
          <cell r="BD556">
            <v>6</v>
          </cell>
          <cell r="BE556">
            <v>4</v>
          </cell>
          <cell r="BF556">
            <v>1</v>
          </cell>
          <cell r="BG556">
            <v>0</v>
          </cell>
          <cell r="BH556">
            <v>0</v>
          </cell>
          <cell r="BI556">
            <v>4</v>
          </cell>
        </row>
        <row r="557">
          <cell r="C557" t="str">
            <v>Vũ Thị Huyền</v>
          </cell>
          <cell r="D557">
            <v>1551</v>
          </cell>
          <cell r="E557" t="str">
            <v>TTCĐ</v>
          </cell>
          <cell r="G557">
            <v>1</v>
          </cell>
          <cell r="I557">
            <v>1</v>
          </cell>
          <cell r="N557">
            <v>1</v>
          </cell>
          <cell r="O557">
            <v>1</v>
          </cell>
          <cell r="S557">
            <v>1</v>
          </cell>
          <cell r="U557">
            <v>1</v>
          </cell>
          <cell r="V557">
            <v>1</v>
          </cell>
          <cell r="Z557">
            <v>1</v>
          </cell>
          <cell r="AB557">
            <v>1</v>
          </cell>
          <cell r="AC557">
            <v>1</v>
          </cell>
          <cell r="AG557">
            <v>1</v>
          </cell>
          <cell r="AI557">
            <v>1</v>
          </cell>
          <cell r="AJ557">
            <v>1</v>
          </cell>
          <cell r="AN557">
            <v>1</v>
          </cell>
          <cell r="AP557">
            <v>1</v>
          </cell>
          <cell r="AW557">
            <v>1</v>
          </cell>
          <cell r="AY557">
            <v>1</v>
          </cell>
          <cell r="BC557">
            <v>0</v>
          </cell>
          <cell r="BD557">
            <v>5</v>
          </cell>
          <cell r="BE557">
            <v>3</v>
          </cell>
          <cell r="BF557">
            <v>1</v>
          </cell>
          <cell r="BG557">
            <v>0</v>
          </cell>
          <cell r="BH557">
            <v>0</v>
          </cell>
          <cell r="BI557">
            <v>3</v>
          </cell>
        </row>
        <row r="558">
          <cell r="C558" t="str">
            <v>Nguyễn Thị Huế</v>
          </cell>
          <cell r="D558">
            <v>1552</v>
          </cell>
          <cell r="I558">
            <v>1</v>
          </cell>
          <cell r="N558">
            <v>1</v>
          </cell>
          <cell r="O558">
            <v>1</v>
          </cell>
          <cell r="S558">
            <v>1</v>
          </cell>
          <cell r="U558">
            <v>1</v>
          </cell>
          <cell r="V558">
            <v>1</v>
          </cell>
          <cell r="Z558">
            <v>1</v>
          </cell>
          <cell r="AB558">
            <v>1</v>
          </cell>
          <cell r="AC558">
            <v>1</v>
          </cell>
          <cell r="AG558">
            <v>1</v>
          </cell>
          <cell r="AI558">
            <v>1</v>
          </cell>
          <cell r="AJ558">
            <v>1</v>
          </cell>
          <cell r="AN558">
            <v>1</v>
          </cell>
          <cell r="AO558">
            <v>1</v>
          </cell>
          <cell r="AP558">
            <v>1</v>
          </cell>
          <cell r="AQ558">
            <v>1</v>
          </cell>
          <cell r="AU558">
            <v>1</v>
          </cell>
          <cell r="AW558">
            <v>1</v>
          </cell>
          <cell r="AY558">
            <v>1</v>
          </cell>
          <cell r="BC558">
            <v>1</v>
          </cell>
          <cell r="BD558">
            <v>6</v>
          </cell>
          <cell r="BE558">
            <v>5</v>
          </cell>
          <cell r="BF558">
            <v>1</v>
          </cell>
          <cell r="BG558">
            <v>0</v>
          </cell>
          <cell r="BH558">
            <v>0</v>
          </cell>
          <cell r="BI558">
            <v>5</v>
          </cell>
        </row>
        <row r="559">
          <cell r="C559" t="str">
            <v>Lê Thị Huyền</v>
          </cell>
          <cell r="D559">
            <v>1655</v>
          </cell>
          <cell r="AK559">
            <v>1</v>
          </cell>
          <cell r="AP559">
            <v>1</v>
          </cell>
          <cell r="AW559">
            <v>1</v>
          </cell>
          <cell r="AY559">
            <v>1</v>
          </cell>
          <cell r="BC559">
            <v>0</v>
          </cell>
          <cell r="BD559">
            <v>2</v>
          </cell>
          <cell r="BE559">
            <v>0</v>
          </cell>
          <cell r="BF559">
            <v>2</v>
          </cell>
          <cell r="BG559">
            <v>0</v>
          </cell>
          <cell r="BH559">
            <v>0</v>
          </cell>
          <cell r="BI559">
            <v>0</v>
          </cell>
        </row>
        <row r="560">
          <cell r="C560" t="str">
            <v>Tạ Thị Tuyết Mai</v>
          </cell>
          <cell r="D560">
            <v>1595</v>
          </cell>
          <cell r="G560">
            <v>1</v>
          </cell>
          <cell r="H560">
            <v>1</v>
          </cell>
          <cell r="L560">
            <v>1</v>
          </cell>
          <cell r="N560">
            <v>1</v>
          </cell>
          <cell r="O560">
            <v>1</v>
          </cell>
          <cell r="S560">
            <v>1</v>
          </cell>
          <cell r="U560">
            <v>1</v>
          </cell>
          <cell r="W560">
            <v>1</v>
          </cell>
          <cell r="AB560">
            <v>1</v>
          </cell>
          <cell r="AC560">
            <v>1</v>
          </cell>
          <cell r="AG560">
            <v>1</v>
          </cell>
          <cell r="AI560">
            <v>1</v>
          </cell>
          <cell r="AJ560">
            <v>1</v>
          </cell>
          <cell r="AN560">
            <v>1</v>
          </cell>
          <cell r="AP560">
            <v>1</v>
          </cell>
          <cell r="AW560">
            <v>1</v>
          </cell>
          <cell r="AY560">
            <v>1</v>
          </cell>
          <cell r="BC560">
            <v>0</v>
          </cell>
          <cell r="BD560">
            <v>5</v>
          </cell>
          <cell r="BE560">
            <v>2</v>
          </cell>
          <cell r="BF560">
            <v>2</v>
          </cell>
          <cell r="BG560">
            <v>0</v>
          </cell>
          <cell r="BH560">
            <v>0</v>
          </cell>
          <cell r="BI560">
            <v>2</v>
          </cell>
        </row>
        <row r="561">
          <cell r="C561" t="str">
            <v>Phương Thanh Thanh</v>
          </cell>
          <cell r="D561">
            <v>1559</v>
          </cell>
          <cell r="G561">
            <v>1</v>
          </cell>
          <cell r="I561">
            <v>1</v>
          </cell>
          <cell r="N561">
            <v>1</v>
          </cell>
          <cell r="O561">
            <v>1</v>
          </cell>
          <cell r="S561">
            <v>1</v>
          </cell>
          <cell r="U561">
            <v>1</v>
          </cell>
          <cell r="V561">
            <v>1</v>
          </cell>
          <cell r="Z561">
            <v>1</v>
          </cell>
          <cell r="AB561">
            <v>1</v>
          </cell>
          <cell r="AC561">
            <v>1</v>
          </cell>
          <cell r="AG561">
            <v>1</v>
          </cell>
          <cell r="AP561">
            <v>1</v>
          </cell>
          <cell r="AW561">
            <v>1</v>
          </cell>
          <cell r="AY561">
            <v>1</v>
          </cell>
          <cell r="BC561">
            <v>0</v>
          </cell>
          <cell r="BD561">
            <v>5</v>
          </cell>
          <cell r="BE561">
            <v>3</v>
          </cell>
          <cell r="BF561">
            <v>1</v>
          </cell>
          <cell r="BG561">
            <v>0</v>
          </cell>
          <cell r="BH561">
            <v>0</v>
          </cell>
          <cell r="BI561">
            <v>3</v>
          </cell>
        </row>
        <row r="562">
          <cell r="C562" t="str">
            <v>Trần Thị Thu Thảo</v>
          </cell>
          <cell r="D562">
            <v>1587</v>
          </cell>
          <cell r="G562">
            <v>1</v>
          </cell>
          <cell r="I562">
            <v>1</v>
          </cell>
          <cell r="N562">
            <v>1</v>
          </cell>
          <cell r="P562">
            <v>1</v>
          </cell>
          <cell r="U562">
            <v>1</v>
          </cell>
          <cell r="W562">
            <v>1</v>
          </cell>
          <cell r="AE562">
            <v>1</v>
          </cell>
          <cell r="AI562">
            <v>1</v>
          </cell>
          <cell r="AJ562">
            <v>1</v>
          </cell>
          <cell r="AN562">
            <v>1</v>
          </cell>
          <cell r="AP562">
            <v>1</v>
          </cell>
          <cell r="AQ562">
            <v>1</v>
          </cell>
          <cell r="AU562">
            <v>1</v>
          </cell>
          <cell r="AW562">
            <v>1</v>
          </cell>
          <cell r="AY562">
            <v>1</v>
          </cell>
          <cell r="BC562">
            <v>0</v>
          </cell>
          <cell r="BD562">
            <v>5</v>
          </cell>
          <cell r="BE562">
            <v>2</v>
          </cell>
          <cell r="BF562">
            <v>3</v>
          </cell>
          <cell r="BG562">
            <v>1</v>
          </cell>
          <cell r="BH562">
            <v>0</v>
          </cell>
          <cell r="BI562">
            <v>2</v>
          </cell>
        </row>
        <row r="563">
          <cell r="C563" t="str">
            <v>Nguyễn Thị Thông</v>
          </cell>
          <cell r="D563">
            <v>1588</v>
          </cell>
          <cell r="F563">
            <v>1</v>
          </cell>
          <cell r="G563">
            <v>1</v>
          </cell>
          <cell r="H563">
            <v>1</v>
          </cell>
          <cell r="L563">
            <v>1</v>
          </cell>
          <cell r="M563">
            <v>1</v>
          </cell>
          <cell r="N563">
            <v>1</v>
          </cell>
          <cell r="O563">
            <v>1</v>
          </cell>
          <cell r="S563">
            <v>1</v>
          </cell>
          <cell r="U563">
            <v>1</v>
          </cell>
          <cell r="V563">
            <v>1</v>
          </cell>
          <cell r="Z563">
            <v>1</v>
          </cell>
          <cell r="AB563">
            <v>1</v>
          </cell>
          <cell r="AC563">
            <v>1</v>
          </cell>
          <cell r="AG563">
            <v>1</v>
          </cell>
          <cell r="AI563">
            <v>1</v>
          </cell>
          <cell r="AJ563">
            <v>1</v>
          </cell>
          <cell r="AN563">
            <v>1</v>
          </cell>
          <cell r="AP563">
            <v>1</v>
          </cell>
          <cell r="AQ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BB563">
            <v>1</v>
          </cell>
          <cell r="BC563">
            <v>2</v>
          </cell>
          <cell r="BD563">
            <v>6</v>
          </cell>
          <cell r="BE563">
            <v>6</v>
          </cell>
          <cell r="BF563">
            <v>0</v>
          </cell>
          <cell r="BG563">
            <v>0</v>
          </cell>
          <cell r="BH563">
            <v>0</v>
          </cell>
          <cell r="BI563">
            <v>6</v>
          </cell>
        </row>
        <row r="564">
          <cell r="C564" t="str">
            <v>Trần Thị Thoa</v>
          </cell>
          <cell r="D564">
            <v>1590</v>
          </cell>
          <cell r="G564">
            <v>1</v>
          </cell>
          <cell r="H564">
            <v>1</v>
          </cell>
          <cell r="L564">
            <v>1</v>
          </cell>
          <cell r="N564">
            <v>1</v>
          </cell>
          <cell r="P564">
            <v>1</v>
          </cell>
          <cell r="U564">
            <v>1</v>
          </cell>
          <cell r="V564">
            <v>1</v>
          </cell>
          <cell r="Z564">
            <v>1</v>
          </cell>
          <cell r="AB564">
            <v>1</v>
          </cell>
          <cell r="AC564">
            <v>1</v>
          </cell>
          <cell r="AG564">
            <v>1</v>
          </cell>
          <cell r="AI564">
            <v>1</v>
          </cell>
          <cell r="AJ564">
            <v>1</v>
          </cell>
          <cell r="AN564">
            <v>1</v>
          </cell>
          <cell r="AP564">
            <v>1</v>
          </cell>
          <cell r="AQ564">
            <v>1</v>
          </cell>
          <cell r="AU564">
            <v>1</v>
          </cell>
          <cell r="AW564">
            <v>1</v>
          </cell>
          <cell r="AY564">
            <v>1</v>
          </cell>
          <cell r="BC564">
            <v>0</v>
          </cell>
          <cell r="BD564">
            <v>6</v>
          </cell>
          <cell r="BE564">
            <v>4</v>
          </cell>
          <cell r="BF564">
            <v>2</v>
          </cell>
          <cell r="BG564">
            <v>0</v>
          </cell>
          <cell r="BH564">
            <v>0</v>
          </cell>
          <cell r="BI564">
            <v>4</v>
          </cell>
        </row>
        <row r="565">
          <cell r="C565" t="str">
            <v>Đỗ Hồng Quyên</v>
          </cell>
          <cell r="D565">
            <v>1203</v>
          </cell>
          <cell r="E565" t="str">
            <v>Trưởng phòng</v>
          </cell>
          <cell r="G565">
            <v>1</v>
          </cell>
          <cell r="H565">
            <v>1</v>
          </cell>
          <cell r="L565">
            <v>1</v>
          </cell>
          <cell r="N565">
            <v>1</v>
          </cell>
          <cell r="P565">
            <v>1</v>
          </cell>
          <cell r="U565">
            <v>1</v>
          </cell>
          <cell r="W565">
            <v>1</v>
          </cell>
          <cell r="AE565">
            <v>1</v>
          </cell>
          <cell r="AI565">
            <v>1</v>
          </cell>
          <cell r="AJ565">
            <v>1</v>
          </cell>
          <cell r="AN565">
            <v>1</v>
          </cell>
          <cell r="AP565">
            <v>1</v>
          </cell>
          <cell r="AQ565">
            <v>1</v>
          </cell>
          <cell r="AU565">
            <v>1</v>
          </cell>
          <cell r="AV565">
            <v>1</v>
          </cell>
          <cell r="AW565">
            <v>1</v>
          </cell>
          <cell r="AY565">
            <v>1</v>
          </cell>
          <cell r="BC565">
            <v>1</v>
          </cell>
          <cell r="BD565">
            <v>5</v>
          </cell>
          <cell r="BE565">
            <v>2</v>
          </cell>
          <cell r="BF565">
            <v>3</v>
          </cell>
          <cell r="BG565">
            <v>1</v>
          </cell>
          <cell r="BH565">
            <v>0</v>
          </cell>
          <cell r="BI565">
            <v>2</v>
          </cell>
        </row>
        <row r="566">
          <cell r="C566" t="str">
            <v>Đặng Thị Hoa</v>
          </cell>
          <cell r="D566">
            <v>1554</v>
          </cell>
          <cell r="E566" t="str">
            <v>Phó Trưởng phòng, BTCB</v>
          </cell>
          <cell r="F566">
            <v>1</v>
          </cell>
          <cell r="G566">
            <v>1</v>
          </cell>
          <cell r="H566">
            <v>1</v>
          </cell>
          <cell r="L566">
            <v>1</v>
          </cell>
          <cell r="N566">
            <v>1</v>
          </cell>
          <cell r="O566">
            <v>1</v>
          </cell>
          <cell r="S566">
            <v>1</v>
          </cell>
          <cell r="T566">
            <v>1</v>
          </cell>
          <cell r="U566">
            <v>1</v>
          </cell>
          <cell r="V566">
            <v>1</v>
          </cell>
          <cell r="Z566">
            <v>1</v>
          </cell>
          <cell r="AB566">
            <v>1</v>
          </cell>
          <cell r="AC566">
            <v>1</v>
          </cell>
          <cell r="AG566">
            <v>1</v>
          </cell>
          <cell r="AI566">
            <v>1</v>
          </cell>
          <cell r="AJ566">
            <v>1</v>
          </cell>
          <cell r="AN566">
            <v>1</v>
          </cell>
          <cell r="AO566">
            <v>1</v>
          </cell>
          <cell r="AP566">
            <v>1</v>
          </cell>
          <cell r="AQ566">
            <v>1</v>
          </cell>
          <cell r="AU566">
            <v>1</v>
          </cell>
          <cell r="AW566">
            <v>1</v>
          </cell>
          <cell r="AY566">
            <v>1</v>
          </cell>
          <cell r="BC566">
            <v>2</v>
          </cell>
          <cell r="BD566">
            <v>6</v>
          </cell>
          <cell r="BE566">
            <v>5</v>
          </cell>
          <cell r="BF566">
            <v>1</v>
          </cell>
          <cell r="BG566">
            <v>0</v>
          </cell>
          <cell r="BH566">
            <v>0</v>
          </cell>
          <cell r="BI566">
            <v>5</v>
          </cell>
        </row>
        <row r="567">
          <cell r="C567" t="str">
            <v>Trần Ngọc Diệp</v>
          </cell>
          <cell r="D567">
            <v>1220</v>
          </cell>
          <cell r="G567">
            <v>1</v>
          </cell>
          <cell r="I567">
            <v>1</v>
          </cell>
          <cell r="N567">
            <v>1</v>
          </cell>
          <cell r="P567">
            <v>1</v>
          </cell>
          <cell r="U567">
            <v>1</v>
          </cell>
          <cell r="V567">
            <v>1</v>
          </cell>
          <cell r="Z567">
            <v>1</v>
          </cell>
          <cell r="AB567">
            <v>1</v>
          </cell>
          <cell r="AC567">
            <v>1</v>
          </cell>
          <cell r="AG567">
            <v>1</v>
          </cell>
          <cell r="AI567">
            <v>1</v>
          </cell>
          <cell r="AJ567">
            <v>1</v>
          </cell>
          <cell r="AN567">
            <v>1</v>
          </cell>
          <cell r="AP567">
            <v>1</v>
          </cell>
          <cell r="AW567">
            <v>1</v>
          </cell>
          <cell r="AY567">
            <v>1</v>
          </cell>
          <cell r="BC567">
            <v>0</v>
          </cell>
          <cell r="BD567">
            <v>6</v>
          </cell>
          <cell r="BE567">
            <v>3</v>
          </cell>
          <cell r="BF567">
            <v>2</v>
          </cell>
          <cell r="BG567">
            <v>0</v>
          </cell>
          <cell r="BH567">
            <v>0</v>
          </cell>
          <cell r="BI567">
            <v>3</v>
          </cell>
        </row>
        <row r="568">
          <cell r="C568" t="str">
            <v>Tạ Thị Mai Hương</v>
          </cell>
          <cell r="D568">
            <v>1555</v>
          </cell>
          <cell r="G568">
            <v>1</v>
          </cell>
          <cell r="H568">
            <v>1</v>
          </cell>
          <cell r="L568">
            <v>1</v>
          </cell>
          <cell r="N568">
            <v>1</v>
          </cell>
          <cell r="O568">
            <v>1</v>
          </cell>
          <cell r="S568">
            <v>1</v>
          </cell>
          <cell r="U568">
            <v>1</v>
          </cell>
          <cell r="V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G568">
            <v>1</v>
          </cell>
          <cell r="AI568">
            <v>1</v>
          </cell>
          <cell r="AJ568">
            <v>1</v>
          </cell>
          <cell r="AN568">
            <v>1</v>
          </cell>
          <cell r="AP568">
            <v>1</v>
          </cell>
          <cell r="AW568">
            <v>1</v>
          </cell>
          <cell r="AY568">
            <v>1</v>
          </cell>
          <cell r="BC568">
            <v>1</v>
          </cell>
          <cell r="BD568">
            <v>6</v>
          </cell>
          <cell r="BE568">
            <v>4</v>
          </cell>
          <cell r="BF568">
            <v>1</v>
          </cell>
          <cell r="BG568">
            <v>0</v>
          </cell>
          <cell r="BH568">
            <v>0</v>
          </cell>
          <cell r="BI568">
            <v>4</v>
          </cell>
        </row>
        <row r="569">
          <cell r="C569" t="str">
            <v>Nguyễn Thị Bích Ngọc</v>
          </cell>
          <cell r="D569">
            <v>1557</v>
          </cell>
          <cell r="G569">
            <v>1</v>
          </cell>
          <cell r="H569">
            <v>1</v>
          </cell>
          <cell r="L569">
            <v>1</v>
          </cell>
          <cell r="N569">
            <v>1</v>
          </cell>
          <cell r="O569">
            <v>1</v>
          </cell>
          <cell r="S569">
            <v>1</v>
          </cell>
          <cell r="U569">
            <v>1</v>
          </cell>
          <cell r="V569">
            <v>1</v>
          </cell>
          <cell r="Z569">
            <v>1</v>
          </cell>
          <cell r="AB569">
            <v>1</v>
          </cell>
          <cell r="AD569">
            <v>1</v>
          </cell>
          <cell r="AI569">
            <v>1</v>
          </cell>
          <cell r="AJ569">
            <v>1</v>
          </cell>
          <cell r="AN569">
            <v>1</v>
          </cell>
          <cell r="AP569">
            <v>1</v>
          </cell>
          <cell r="AQ569">
            <v>1</v>
          </cell>
          <cell r="AU569">
            <v>1</v>
          </cell>
          <cell r="AW569">
            <v>1</v>
          </cell>
          <cell r="AY569">
            <v>1</v>
          </cell>
          <cell r="BC569">
            <v>0</v>
          </cell>
          <cell r="BD569">
            <v>6</v>
          </cell>
          <cell r="BE569">
            <v>4</v>
          </cell>
          <cell r="BF569">
            <v>2</v>
          </cell>
          <cell r="BG569">
            <v>0</v>
          </cell>
          <cell r="BH569">
            <v>0</v>
          </cell>
          <cell r="BI569">
            <v>4</v>
          </cell>
        </row>
        <row r="570">
          <cell r="C570" t="str">
            <v>Võ Thị Thu Hiền</v>
          </cell>
          <cell r="D570">
            <v>1558</v>
          </cell>
          <cell r="G570">
            <v>1</v>
          </cell>
          <cell r="H570">
            <v>1</v>
          </cell>
          <cell r="L570">
            <v>1</v>
          </cell>
          <cell r="N570">
            <v>1</v>
          </cell>
          <cell r="O570">
            <v>1</v>
          </cell>
          <cell r="S570">
            <v>1</v>
          </cell>
          <cell r="U570">
            <v>1</v>
          </cell>
          <cell r="W570">
            <v>1</v>
          </cell>
          <cell r="AE570">
            <v>1</v>
          </cell>
          <cell r="AI570">
            <v>1</v>
          </cell>
          <cell r="AJ570">
            <v>1</v>
          </cell>
          <cell r="AN570">
            <v>1</v>
          </cell>
          <cell r="AP570">
            <v>1</v>
          </cell>
          <cell r="AW570">
            <v>1</v>
          </cell>
          <cell r="AY570">
            <v>1</v>
          </cell>
          <cell r="BC570">
            <v>0</v>
          </cell>
          <cell r="BD570">
            <v>5</v>
          </cell>
          <cell r="BE570">
            <v>2</v>
          </cell>
          <cell r="BF570">
            <v>2</v>
          </cell>
          <cell r="BG570">
            <v>1</v>
          </cell>
          <cell r="BH570">
            <v>0</v>
          </cell>
          <cell r="BI570">
            <v>2</v>
          </cell>
        </row>
        <row r="571">
          <cell r="C571" t="str">
            <v>Đoàn Mạnh Sơn</v>
          </cell>
          <cell r="D571">
            <v>1560</v>
          </cell>
          <cell r="E571" t="str">
            <v>Phó Trưởng phòng,
 PBTCB, TTCĐ</v>
          </cell>
          <cell r="G571">
            <v>1</v>
          </cell>
          <cell r="H571">
            <v>1</v>
          </cell>
          <cell r="L571">
            <v>1</v>
          </cell>
          <cell r="N571">
            <v>1</v>
          </cell>
          <cell r="O571">
            <v>1</v>
          </cell>
          <cell r="S571">
            <v>1</v>
          </cell>
          <cell r="U571">
            <v>1</v>
          </cell>
          <cell r="V571">
            <v>1</v>
          </cell>
          <cell r="Z571">
            <v>1</v>
          </cell>
          <cell r="AB571">
            <v>1</v>
          </cell>
          <cell r="AC571">
            <v>1</v>
          </cell>
          <cell r="AG571">
            <v>1</v>
          </cell>
          <cell r="AH571">
            <v>1</v>
          </cell>
          <cell r="AI571">
            <v>1</v>
          </cell>
          <cell r="AJ571">
            <v>1</v>
          </cell>
          <cell r="AN571">
            <v>1</v>
          </cell>
          <cell r="AP571">
            <v>1</v>
          </cell>
          <cell r="AQ571">
            <v>1</v>
          </cell>
          <cell r="AU571">
            <v>1</v>
          </cell>
          <cell r="AV571">
            <v>1</v>
          </cell>
          <cell r="AW571">
            <v>1</v>
          </cell>
          <cell r="AX571">
            <v>1</v>
          </cell>
          <cell r="BB571">
            <v>1</v>
          </cell>
          <cell r="BC571">
            <v>2</v>
          </cell>
          <cell r="BD571">
            <v>6</v>
          </cell>
          <cell r="BE571">
            <v>6</v>
          </cell>
          <cell r="BF571">
            <v>0</v>
          </cell>
          <cell r="BG571">
            <v>0</v>
          </cell>
          <cell r="BH571">
            <v>0</v>
          </cell>
          <cell r="BI571">
            <v>6</v>
          </cell>
        </row>
        <row r="572">
          <cell r="C572" t="str">
            <v>Nguyễn Thu Huyền</v>
          </cell>
          <cell r="D572">
            <v>1508</v>
          </cell>
          <cell r="N572">
            <v>1</v>
          </cell>
          <cell r="P572">
            <v>1</v>
          </cell>
          <cell r="U572">
            <v>1</v>
          </cell>
          <cell r="V572">
            <v>1</v>
          </cell>
          <cell r="Z572">
            <v>1</v>
          </cell>
          <cell r="AB572">
            <v>1</v>
          </cell>
          <cell r="AC572">
            <v>1</v>
          </cell>
          <cell r="AG572">
            <v>1</v>
          </cell>
          <cell r="AI572">
            <v>1</v>
          </cell>
          <cell r="AJ572">
            <v>1</v>
          </cell>
          <cell r="AN572">
            <v>1</v>
          </cell>
          <cell r="AP572">
            <v>1</v>
          </cell>
          <cell r="AW572">
            <v>1</v>
          </cell>
          <cell r="AY572">
            <v>1</v>
          </cell>
          <cell r="BC572">
            <v>0</v>
          </cell>
          <cell r="BD572">
            <v>6</v>
          </cell>
          <cell r="BE572">
            <v>3</v>
          </cell>
          <cell r="BF572">
            <v>2</v>
          </cell>
          <cell r="BG572">
            <v>0</v>
          </cell>
          <cell r="BH572">
            <v>0</v>
          </cell>
          <cell r="BI572">
            <v>3</v>
          </cell>
        </row>
        <row r="573">
          <cell r="C573" t="str">
            <v>Nguyễn Thị Minh Nhàn</v>
          </cell>
          <cell r="D573">
            <v>1561</v>
          </cell>
          <cell r="E573" t="str">
            <v>Trưởng phòng, PBTCB</v>
          </cell>
          <cell r="F573">
            <v>1</v>
          </cell>
          <cell r="G573">
            <v>1</v>
          </cell>
          <cell r="H573">
            <v>1</v>
          </cell>
          <cell r="L573">
            <v>1</v>
          </cell>
          <cell r="M573">
            <v>1</v>
          </cell>
          <cell r="N573">
            <v>1</v>
          </cell>
          <cell r="O573">
            <v>1</v>
          </cell>
          <cell r="S573">
            <v>1</v>
          </cell>
          <cell r="T573">
            <v>1</v>
          </cell>
          <cell r="U573">
            <v>1</v>
          </cell>
          <cell r="V573">
            <v>1</v>
          </cell>
          <cell r="Z573">
            <v>1</v>
          </cell>
          <cell r="AA573">
            <v>1</v>
          </cell>
          <cell r="AB573">
            <v>1</v>
          </cell>
          <cell r="AC573">
            <v>1</v>
          </cell>
          <cell r="AG573">
            <v>1</v>
          </cell>
          <cell r="AH573">
            <v>1</v>
          </cell>
          <cell r="AI573">
            <v>1</v>
          </cell>
          <cell r="AJ573">
            <v>1</v>
          </cell>
          <cell r="AN573">
            <v>1</v>
          </cell>
          <cell r="AP573">
            <v>1</v>
          </cell>
          <cell r="AV573">
            <v>1</v>
          </cell>
          <cell r="AW573">
            <v>1</v>
          </cell>
          <cell r="AY573">
            <v>1</v>
          </cell>
          <cell r="BB573">
            <v>1</v>
          </cell>
          <cell r="BC573">
            <v>5</v>
          </cell>
          <cell r="BD573">
            <v>6</v>
          </cell>
          <cell r="BE573">
            <v>4</v>
          </cell>
          <cell r="BF573">
            <v>1</v>
          </cell>
          <cell r="BG573">
            <v>0</v>
          </cell>
          <cell r="BH573">
            <v>0</v>
          </cell>
          <cell r="BI573">
            <v>5</v>
          </cell>
        </row>
        <row r="574">
          <cell r="C574" t="str">
            <v>Trần Việt Thảo</v>
          </cell>
          <cell r="D574">
            <v>1562</v>
          </cell>
          <cell r="E574" t="str">
            <v>Phó Trưởng phòng, BTCB</v>
          </cell>
          <cell r="G574">
            <v>1</v>
          </cell>
          <cell r="H574">
            <v>1</v>
          </cell>
          <cell r="L574">
            <v>1</v>
          </cell>
          <cell r="N574">
            <v>1</v>
          </cell>
          <cell r="O574">
            <v>1</v>
          </cell>
          <cell r="S574">
            <v>1</v>
          </cell>
          <cell r="U574">
            <v>1</v>
          </cell>
          <cell r="W574">
            <v>1</v>
          </cell>
          <cell r="AB574">
            <v>1</v>
          </cell>
          <cell r="AC574">
            <v>1</v>
          </cell>
          <cell r="AG574">
            <v>1</v>
          </cell>
          <cell r="AH574">
            <v>1</v>
          </cell>
          <cell r="AI574">
            <v>1</v>
          </cell>
          <cell r="AJ574">
            <v>1</v>
          </cell>
          <cell r="AN574">
            <v>1</v>
          </cell>
          <cell r="AO574">
            <v>1</v>
          </cell>
          <cell r="AP574">
            <v>1</v>
          </cell>
          <cell r="AQ574">
            <v>1</v>
          </cell>
          <cell r="AU574">
            <v>1</v>
          </cell>
          <cell r="AV574">
            <v>1</v>
          </cell>
          <cell r="AW574">
            <v>1</v>
          </cell>
          <cell r="AY574">
            <v>1</v>
          </cell>
          <cell r="BB574">
            <v>1</v>
          </cell>
          <cell r="BC574">
            <v>3</v>
          </cell>
          <cell r="BD574">
            <v>6</v>
          </cell>
          <cell r="BE574">
            <v>4</v>
          </cell>
          <cell r="BF574">
            <v>2</v>
          </cell>
          <cell r="BG574">
            <v>0</v>
          </cell>
          <cell r="BH574">
            <v>0</v>
          </cell>
          <cell r="BI574">
            <v>5</v>
          </cell>
        </row>
        <row r="575">
          <cell r="C575" t="str">
            <v>Đinh Thị Phương Anh</v>
          </cell>
          <cell r="D575">
            <v>1571</v>
          </cell>
          <cell r="E575" t="str">
            <v>Phó trưởng phòng</v>
          </cell>
          <cell r="G575">
            <v>1</v>
          </cell>
          <cell r="I575">
            <v>1</v>
          </cell>
          <cell r="N575">
            <v>1</v>
          </cell>
          <cell r="O575">
            <v>1</v>
          </cell>
          <cell r="S575">
            <v>1</v>
          </cell>
          <cell r="U575">
            <v>1</v>
          </cell>
          <cell r="V575">
            <v>1</v>
          </cell>
          <cell r="Z575">
            <v>1</v>
          </cell>
          <cell r="AB575">
            <v>1</v>
          </cell>
          <cell r="AC575">
            <v>1</v>
          </cell>
          <cell r="AG575">
            <v>1</v>
          </cell>
          <cell r="AI575">
            <v>1</v>
          </cell>
          <cell r="AJ575">
            <v>1</v>
          </cell>
          <cell r="AN575">
            <v>1</v>
          </cell>
          <cell r="AP575">
            <v>1</v>
          </cell>
          <cell r="AQ575">
            <v>1</v>
          </cell>
          <cell r="AU575">
            <v>1</v>
          </cell>
          <cell r="AW575">
            <v>1</v>
          </cell>
          <cell r="AX575">
            <v>1</v>
          </cell>
          <cell r="BC575">
            <v>0</v>
          </cell>
          <cell r="BD575">
            <v>6</v>
          </cell>
          <cell r="BE575">
            <v>6</v>
          </cell>
          <cell r="BF575">
            <v>0</v>
          </cell>
          <cell r="BG575">
            <v>0</v>
          </cell>
          <cell r="BH575">
            <v>0</v>
          </cell>
          <cell r="BI575">
            <v>5</v>
          </cell>
        </row>
        <row r="576">
          <cell r="C576" t="str">
            <v>Phạm Vũ Vân Anh</v>
          </cell>
          <cell r="D576">
            <v>1578</v>
          </cell>
          <cell r="AP576">
            <v>1</v>
          </cell>
          <cell r="AW576">
            <v>1</v>
          </cell>
          <cell r="AY576">
            <v>1</v>
          </cell>
          <cell r="BC576">
            <v>0</v>
          </cell>
          <cell r="BD576">
            <v>2</v>
          </cell>
          <cell r="BE576">
            <v>0</v>
          </cell>
          <cell r="BF576">
            <v>1</v>
          </cell>
          <cell r="BG576">
            <v>0</v>
          </cell>
          <cell r="BH576">
            <v>0</v>
          </cell>
          <cell r="BI576">
            <v>0</v>
          </cell>
        </row>
        <row r="577">
          <cell r="C577" t="str">
            <v>Dương Nguyễn Thanh Thủy</v>
          </cell>
          <cell r="D577">
            <v>1580</v>
          </cell>
          <cell r="I577">
            <v>1</v>
          </cell>
          <cell r="N577">
            <v>1</v>
          </cell>
          <cell r="O577">
            <v>1</v>
          </cell>
          <cell r="S577">
            <v>1</v>
          </cell>
          <cell r="U577">
            <v>1</v>
          </cell>
          <cell r="V577">
            <v>1</v>
          </cell>
          <cell r="Z577">
            <v>1</v>
          </cell>
          <cell r="AB577">
            <v>1</v>
          </cell>
          <cell r="AD577">
            <v>1</v>
          </cell>
          <cell r="AI577">
            <v>1</v>
          </cell>
          <cell r="AJ577">
            <v>1</v>
          </cell>
          <cell r="AN577">
            <v>1</v>
          </cell>
          <cell r="AP577">
            <v>1</v>
          </cell>
          <cell r="AW577">
            <v>1</v>
          </cell>
          <cell r="AY577">
            <v>1</v>
          </cell>
          <cell r="BC577">
            <v>0</v>
          </cell>
          <cell r="BD577">
            <v>6</v>
          </cell>
          <cell r="BE577">
            <v>3</v>
          </cell>
          <cell r="BF577">
            <v>2</v>
          </cell>
          <cell r="BG577">
            <v>0</v>
          </cell>
          <cell r="BH577">
            <v>0</v>
          </cell>
          <cell r="BI577">
            <v>3</v>
          </cell>
        </row>
        <row r="578">
          <cell r="C578" t="str">
            <v>Nguyễn Thị Thanh Tuyền</v>
          </cell>
          <cell r="D578">
            <v>1399</v>
          </cell>
          <cell r="G578">
            <v>1</v>
          </cell>
          <cell r="I578">
            <v>1</v>
          </cell>
          <cell r="N578">
            <v>1</v>
          </cell>
          <cell r="P578">
            <v>1</v>
          </cell>
          <cell r="U578">
            <v>1</v>
          </cell>
          <cell r="W578">
            <v>1</v>
          </cell>
          <cell r="AB578">
            <v>1</v>
          </cell>
          <cell r="AD578">
            <v>1</v>
          </cell>
          <cell r="AI578">
            <v>1</v>
          </cell>
          <cell r="AK578">
            <v>1</v>
          </cell>
          <cell r="AP578">
            <v>1</v>
          </cell>
          <cell r="AZ578">
            <v>1</v>
          </cell>
          <cell r="BC578">
            <v>0</v>
          </cell>
          <cell r="BD578">
            <v>5</v>
          </cell>
          <cell r="BE578">
            <v>0</v>
          </cell>
          <cell r="BF578">
            <v>4</v>
          </cell>
          <cell r="BG578">
            <v>1</v>
          </cell>
          <cell r="BH578">
            <v>0</v>
          </cell>
          <cell r="BI578">
            <v>0</v>
          </cell>
        </row>
        <row r="579">
          <cell r="C579" t="str">
            <v>Nguyễn Minh Trang</v>
          </cell>
          <cell r="D579">
            <v>1564</v>
          </cell>
          <cell r="G579">
            <v>1</v>
          </cell>
          <cell r="H579">
            <v>1</v>
          </cell>
          <cell r="L579">
            <v>1</v>
          </cell>
          <cell r="N579">
            <v>1</v>
          </cell>
          <cell r="O579">
            <v>1</v>
          </cell>
          <cell r="S579">
            <v>1</v>
          </cell>
          <cell r="U579">
            <v>1</v>
          </cell>
          <cell r="V579">
            <v>1</v>
          </cell>
          <cell r="Z579">
            <v>1</v>
          </cell>
          <cell r="AB579">
            <v>1</v>
          </cell>
          <cell r="AC579">
            <v>1</v>
          </cell>
          <cell r="AG579">
            <v>1</v>
          </cell>
          <cell r="AI579">
            <v>1</v>
          </cell>
          <cell r="AJ579">
            <v>1</v>
          </cell>
          <cell r="AN579">
            <v>1</v>
          </cell>
          <cell r="AP579">
            <v>1</v>
          </cell>
          <cell r="AQ579">
            <v>1</v>
          </cell>
          <cell r="AU579">
            <v>1</v>
          </cell>
          <cell r="AW579">
            <v>1</v>
          </cell>
          <cell r="AY579">
            <v>1</v>
          </cell>
          <cell r="BC579">
            <v>0</v>
          </cell>
          <cell r="BD579">
            <v>6</v>
          </cell>
          <cell r="BE579">
            <v>5</v>
          </cell>
          <cell r="BF579">
            <v>1</v>
          </cell>
          <cell r="BG579">
            <v>0</v>
          </cell>
          <cell r="BH579">
            <v>0</v>
          </cell>
          <cell r="BI579">
            <v>5</v>
          </cell>
        </row>
        <row r="580">
          <cell r="C580" t="str">
            <v>Đinh Thị Việt Hà</v>
          </cell>
          <cell r="D580">
            <v>1566</v>
          </cell>
          <cell r="E580" t="str">
            <v>TTCĐ</v>
          </cell>
          <cell r="G580">
            <v>1</v>
          </cell>
          <cell r="H580">
            <v>1</v>
          </cell>
          <cell r="L580">
            <v>1</v>
          </cell>
          <cell r="N580">
            <v>1</v>
          </cell>
          <cell r="O580">
            <v>1</v>
          </cell>
          <cell r="S580">
            <v>1</v>
          </cell>
          <cell r="U580">
            <v>1</v>
          </cell>
          <cell r="V580">
            <v>1</v>
          </cell>
          <cell r="Z580">
            <v>1</v>
          </cell>
          <cell r="AB580">
            <v>1</v>
          </cell>
          <cell r="AC580">
            <v>1</v>
          </cell>
          <cell r="AG580">
            <v>1</v>
          </cell>
          <cell r="AI580">
            <v>1</v>
          </cell>
          <cell r="AJ580">
            <v>1</v>
          </cell>
          <cell r="AN580">
            <v>1</v>
          </cell>
          <cell r="AP580">
            <v>1</v>
          </cell>
          <cell r="AW580">
            <v>1</v>
          </cell>
          <cell r="AY580">
            <v>1</v>
          </cell>
          <cell r="BC580">
            <v>0</v>
          </cell>
          <cell r="BD580">
            <v>6</v>
          </cell>
          <cell r="BE580">
            <v>4</v>
          </cell>
          <cell r="BF580">
            <v>1</v>
          </cell>
          <cell r="BG580">
            <v>0</v>
          </cell>
          <cell r="BH580">
            <v>0</v>
          </cell>
          <cell r="BI580">
            <v>4</v>
          </cell>
        </row>
        <row r="581">
          <cell r="C581" t="str">
            <v>Nguyễn Quyết</v>
          </cell>
          <cell r="D581">
            <v>1567</v>
          </cell>
          <cell r="G581">
            <v>1</v>
          </cell>
          <cell r="I581">
            <v>1</v>
          </cell>
          <cell r="N581">
            <v>1</v>
          </cell>
          <cell r="P581">
            <v>1</v>
          </cell>
          <cell r="U581">
            <v>1</v>
          </cell>
          <cell r="V581">
            <v>1</v>
          </cell>
          <cell r="Z581">
            <v>1</v>
          </cell>
          <cell r="AB581">
            <v>1</v>
          </cell>
          <cell r="AC581">
            <v>1</v>
          </cell>
          <cell r="AG581">
            <v>1</v>
          </cell>
          <cell r="AI581">
            <v>1</v>
          </cell>
          <cell r="AJ581">
            <v>1</v>
          </cell>
          <cell r="AN581">
            <v>1</v>
          </cell>
          <cell r="AP581">
            <v>1</v>
          </cell>
          <cell r="AQ581">
            <v>1</v>
          </cell>
          <cell r="AU581">
            <v>1</v>
          </cell>
          <cell r="AV581">
            <v>1</v>
          </cell>
          <cell r="AW581">
            <v>1</v>
          </cell>
          <cell r="AX581">
            <v>1</v>
          </cell>
          <cell r="BB581">
            <v>1</v>
          </cell>
          <cell r="BC581">
            <v>1</v>
          </cell>
          <cell r="BD581">
            <v>6</v>
          </cell>
          <cell r="BE581">
            <v>5</v>
          </cell>
          <cell r="BF581">
            <v>1</v>
          </cell>
          <cell r="BG581">
            <v>0</v>
          </cell>
          <cell r="BH581">
            <v>0</v>
          </cell>
          <cell r="BI581">
            <v>5</v>
          </cell>
        </row>
        <row r="582">
          <cell r="C582" t="str">
            <v>Trần Thanh Diễm</v>
          </cell>
          <cell r="D582">
            <v>1572</v>
          </cell>
          <cell r="G582">
            <v>1</v>
          </cell>
          <cell r="H582">
            <v>1</v>
          </cell>
          <cell r="L582">
            <v>1</v>
          </cell>
          <cell r="N582">
            <v>1</v>
          </cell>
          <cell r="O582">
            <v>1</v>
          </cell>
          <cell r="S582">
            <v>1</v>
          </cell>
          <cell r="U582">
            <v>1</v>
          </cell>
          <cell r="V582">
            <v>1</v>
          </cell>
          <cell r="Z582">
            <v>1</v>
          </cell>
          <cell r="AB582">
            <v>1</v>
          </cell>
          <cell r="AC582">
            <v>1</v>
          </cell>
          <cell r="AG582">
            <v>1</v>
          </cell>
          <cell r="AI582">
            <v>1</v>
          </cell>
          <cell r="AJ582">
            <v>1</v>
          </cell>
          <cell r="AN582">
            <v>1</v>
          </cell>
          <cell r="AP582">
            <v>1</v>
          </cell>
          <cell r="AW582">
            <v>1</v>
          </cell>
          <cell r="AY582">
            <v>1</v>
          </cell>
          <cell r="BC582">
            <v>0</v>
          </cell>
          <cell r="BD582">
            <v>6</v>
          </cell>
          <cell r="BE582">
            <v>4</v>
          </cell>
          <cell r="BF582">
            <v>1</v>
          </cell>
          <cell r="BG582">
            <v>0</v>
          </cell>
          <cell r="BH582">
            <v>0</v>
          </cell>
          <cell r="BI582">
            <v>4</v>
          </cell>
        </row>
        <row r="583">
          <cell r="C583" t="str">
            <v>Phan Thu Trang</v>
          </cell>
          <cell r="D583">
            <v>1178</v>
          </cell>
          <cell r="E583" t="str">
            <v>Trưởng phòng, BTĐTN</v>
          </cell>
          <cell r="G583">
            <v>1</v>
          </cell>
          <cell r="I583">
            <v>1</v>
          </cell>
          <cell r="N583">
            <v>1</v>
          </cell>
          <cell r="P583">
            <v>1</v>
          </cell>
          <cell r="T583">
            <v>1</v>
          </cell>
          <cell r="U583">
            <v>1</v>
          </cell>
          <cell r="V583">
            <v>1</v>
          </cell>
          <cell r="Z583">
            <v>1</v>
          </cell>
          <cell r="AB583">
            <v>1</v>
          </cell>
          <cell r="AD583">
            <v>1</v>
          </cell>
          <cell r="AG583">
            <v>1</v>
          </cell>
          <cell r="AI583">
            <v>1</v>
          </cell>
          <cell r="AJ583">
            <v>1</v>
          </cell>
          <cell r="AN583">
            <v>1</v>
          </cell>
          <cell r="AO583">
            <v>1</v>
          </cell>
          <cell r="AP583">
            <v>1</v>
          </cell>
          <cell r="AQ583">
            <v>1</v>
          </cell>
          <cell r="AU583">
            <v>1</v>
          </cell>
          <cell r="AV583">
            <v>1</v>
          </cell>
          <cell r="AW583">
            <v>1</v>
          </cell>
          <cell r="AX583">
            <v>1</v>
          </cell>
          <cell r="BC583">
            <v>3</v>
          </cell>
          <cell r="BD583">
            <v>6</v>
          </cell>
          <cell r="BE583">
            <v>4</v>
          </cell>
          <cell r="BF583">
            <v>2</v>
          </cell>
          <cell r="BG583">
            <v>0</v>
          </cell>
          <cell r="BH583">
            <v>0</v>
          </cell>
          <cell r="BI583">
            <v>4</v>
          </cell>
        </row>
        <row r="584">
          <cell r="C584" t="str">
            <v>Phan Đình Quyết</v>
          </cell>
          <cell r="D584">
            <v>1570</v>
          </cell>
          <cell r="E584" t="str">
            <v>Phó trưởng phòng, PBTCB</v>
          </cell>
          <cell r="G584">
            <v>1</v>
          </cell>
          <cell r="H584">
            <v>1</v>
          </cell>
          <cell r="L584">
            <v>1</v>
          </cell>
          <cell r="M584">
            <v>1</v>
          </cell>
          <cell r="N584">
            <v>1</v>
          </cell>
          <cell r="O584">
            <v>1</v>
          </cell>
          <cell r="S584">
            <v>1</v>
          </cell>
          <cell r="T584">
            <v>1</v>
          </cell>
          <cell r="U584">
            <v>1</v>
          </cell>
          <cell r="V584">
            <v>1</v>
          </cell>
          <cell r="Z584">
            <v>1</v>
          </cell>
          <cell r="AB584">
            <v>1</v>
          </cell>
          <cell r="AC584">
            <v>1</v>
          </cell>
          <cell r="AG584">
            <v>1</v>
          </cell>
          <cell r="AI584">
            <v>1</v>
          </cell>
          <cell r="AJ584">
            <v>1</v>
          </cell>
          <cell r="AN584">
            <v>1</v>
          </cell>
          <cell r="AP584">
            <v>1</v>
          </cell>
          <cell r="AQ584">
            <v>1</v>
          </cell>
          <cell r="AU584">
            <v>1</v>
          </cell>
          <cell r="AW584">
            <v>1</v>
          </cell>
          <cell r="AY584">
            <v>1</v>
          </cell>
          <cell r="BC584">
            <v>2</v>
          </cell>
          <cell r="BD584">
            <v>6</v>
          </cell>
          <cell r="BE584">
            <v>5</v>
          </cell>
          <cell r="BF584">
            <v>1</v>
          </cell>
          <cell r="BG584">
            <v>0</v>
          </cell>
          <cell r="BH584">
            <v>0</v>
          </cell>
          <cell r="BI584">
            <v>5</v>
          </cell>
        </row>
        <row r="585">
          <cell r="C585" t="str">
            <v>Nguyễn Quang Trung</v>
          </cell>
          <cell r="D585">
            <v>1526</v>
          </cell>
          <cell r="E585" t="str">
            <v>Phó trưởng phòng</v>
          </cell>
          <cell r="G585">
            <v>1</v>
          </cell>
          <cell r="I585">
            <v>1</v>
          </cell>
          <cell r="N585">
            <v>1</v>
          </cell>
          <cell r="O585">
            <v>1</v>
          </cell>
          <cell r="S585">
            <v>1</v>
          </cell>
          <cell r="U585">
            <v>1</v>
          </cell>
          <cell r="W585">
            <v>1</v>
          </cell>
          <cell r="AB585">
            <v>1</v>
          </cell>
          <cell r="AD585">
            <v>1</v>
          </cell>
          <cell r="AI585">
            <v>1</v>
          </cell>
          <cell r="AK585">
            <v>1</v>
          </cell>
          <cell r="AP585">
            <v>1</v>
          </cell>
          <cell r="AQ585">
            <v>1</v>
          </cell>
          <cell r="AU585">
            <v>1</v>
          </cell>
          <cell r="AW585">
            <v>1</v>
          </cell>
          <cell r="AY585">
            <v>1</v>
          </cell>
          <cell r="BC585">
            <v>0</v>
          </cell>
          <cell r="BD585">
            <v>6</v>
          </cell>
          <cell r="BE585">
            <v>2</v>
          </cell>
          <cell r="BF585">
            <v>4</v>
          </cell>
          <cell r="BG585">
            <v>0</v>
          </cell>
          <cell r="BH585">
            <v>0</v>
          </cell>
          <cell r="BI585">
            <v>2</v>
          </cell>
        </row>
        <row r="586">
          <cell r="C586" t="str">
            <v>Nguyễn Tùng Lâm</v>
          </cell>
          <cell r="D586">
            <v>1574</v>
          </cell>
          <cell r="E586" t="str">
            <v>BTCĐ</v>
          </cell>
          <cell r="G586">
            <v>1</v>
          </cell>
          <cell r="H586">
            <v>1</v>
          </cell>
          <cell r="L586">
            <v>1</v>
          </cell>
          <cell r="N586">
            <v>1</v>
          </cell>
          <cell r="O586">
            <v>1</v>
          </cell>
          <cell r="S586">
            <v>1</v>
          </cell>
          <cell r="U586">
            <v>1</v>
          </cell>
          <cell r="V586">
            <v>1</v>
          </cell>
          <cell r="Z586">
            <v>1</v>
          </cell>
          <cell r="AB586">
            <v>1</v>
          </cell>
          <cell r="AC586">
            <v>1</v>
          </cell>
          <cell r="AG586">
            <v>1</v>
          </cell>
          <cell r="AI586">
            <v>1</v>
          </cell>
          <cell r="AJ586">
            <v>1</v>
          </cell>
          <cell r="AN586">
            <v>1</v>
          </cell>
          <cell r="AO586">
            <v>1</v>
          </cell>
          <cell r="AP586">
            <v>1</v>
          </cell>
          <cell r="AQ586">
            <v>1</v>
          </cell>
          <cell r="AU586">
            <v>1</v>
          </cell>
          <cell r="AW586">
            <v>1</v>
          </cell>
          <cell r="AY586">
            <v>1</v>
          </cell>
          <cell r="BC586">
            <v>1</v>
          </cell>
          <cell r="BD586">
            <v>6</v>
          </cell>
          <cell r="BE586">
            <v>5</v>
          </cell>
          <cell r="BF586">
            <v>1</v>
          </cell>
          <cell r="BG586">
            <v>0</v>
          </cell>
          <cell r="BH586">
            <v>0</v>
          </cell>
          <cell r="BI586">
            <v>5</v>
          </cell>
        </row>
        <row r="587">
          <cell r="C587" t="str">
            <v>Nguyễn Hải Anh</v>
          </cell>
          <cell r="D587">
            <v>1596</v>
          </cell>
          <cell r="U587">
            <v>1</v>
          </cell>
          <cell r="W587">
            <v>1</v>
          </cell>
          <cell r="AB587">
            <v>1</v>
          </cell>
          <cell r="AD587">
            <v>1</v>
          </cell>
          <cell r="AI587">
            <v>1</v>
          </cell>
          <cell r="AJ587">
            <v>1</v>
          </cell>
          <cell r="AN587">
            <v>1</v>
          </cell>
          <cell r="AP587">
            <v>1</v>
          </cell>
          <cell r="AW587">
            <v>1</v>
          </cell>
          <cell r="AY587">
            <v>1</v>
          </cell>
          <cell r="BC587">
            <v>0</v>
          </cell>
          <cell r="BD587">
            <v>5</v>
          </cell>
          <cell r="BE587">
            <v>1</v>
          </cell>
          <cell r="BF587">
            <v>3</v>
          </cell>
          <cell r="BG587">
            <v>0</v>
          </cell>
          <cell r="BH587">
            <v>0</v>
          </cell>
          <cell r="BI587">
            <v>1</v>
          </cell>
        </row>
        <row r="588">
          <cell r="C588" t="str">
            <v>Hoàng Hải Yến</v>
          </cell>
          <cell r="D588">
            <v>1575</v>
          </cell>
          <cell r="E588" t="str">
            <v>TTCĐ</v>
          </cell>
          <cell r="G588">
            <v>1</v>
          </cell>
          <cell r="H588">
            <v>1</v>
          </cell>
          <cell r="L588">
            <v>1</v>
          </cell>
          <cell r="N588">
            <v>1</v>
          </cell>
          <cell r="P588">
            <v>1</v>
          </cell>
          <cell r="U588">
            <v>1</v>
          </cell>
          <cell r="V588">
            <v>1</v>
          </cell>
          <cell r="Z588">
            <v>1</v>
          </cell>
          <cell r="AB588">
            <v>1</v>
          </cell>
          <cell r="AC588">
            <v>1</v>
          </cell>
          <cell r="AG588">
            <v>1</v>
          </cell>
          <cell r="AI588">
            <v>1</v>
          </cell>
          <cell r="AJ588">
            <v>1</v>
          </cell>
          <cell r="AN588">
            <v>1</v>
          </cell>
          <cell r="AP588">
            <v>1</v>
          </cell>
          <cell r="AW588">
            <v>1</v>
          </cell>
          <cell r="AY588">
            <v>1</v>
          </cell>
          <cell r="BC588">
            <v>0</v>
          </cell>
          <cell r="BD588">
            <v>6</v>
          </cell>
          <cell r="BE588">
            <v>3</v>
          </cell>
          <cell r="BF588">
            <v>2</v>
          </cell>
          <cell r="BG588">
            <v>0</v>
          </cell>
          <cell r="BH588">
            <v>0</v>
          </cell>
          <cell r="BI588">
            <v>3</v>
          </cell>
        </row>
        <row r="589">
          <cell r="C589" t="str">
            <v>Phạm Anh Thư</v>
          </cell>
          <cell r="D589">
            <v>1576</v>
          </cell>
          <cell r="G589">
            <v>1</v>
          </cell>
          <cell r="H589">
            <v>1</v>
          </cell>
          <cell r="L589">
            <v>1</v>
          </cell>
          <cell r="N589">
            <v>1</v>
          </cell>
          <cell r="O589">
            <v>1</v>
          </cell>
          <cell r="S589">
            <v>1</v>
          </cell>
          <cell r="U589">
            <v>1</v>
          </cell>
          <cell r="V589">
            <v>1</v>
          </cell>
          <cell r="Z589">
            <v>1</v>
          </cell>
          <cell r="AB589">
            <v>1</v>
          </cell>
          <cell r="AC589">
            <v>1</v>
          </cell>
          <cell r="AG589">
            <v>1</v>
          </cell>
          <cell r="AI589">
            <v>1</v>
          </cell>
          <cell r="AJ589">
            <v>1</v>
          </cell>
          <cell r="AN589">
            <v>1</v>
          </cell>
          <cell r="AP589">
            <v>1</v>
          </cell>
          <cell r="AQ589">
            <v>1</v>
          </cell>
          <cell r="AU589">
            <v>1</v>
          </cell>
          <cell r="AW589">
            <v>1</v>
          </cell>
          <cell r="AY589">
            <v>1</v>
          </cell>
          <cell r="BC589">
            <v>0</v>
          </cell>
          <cell r="BD589">
            <v>6</v>
          </cell>
          <cell r="BE589">
            <v>5</v>
          </cell>
          <cell r="BF589">
            <v>1</v>
          </cell>
          <cell r="BG589">
            <v>0</v>
          </cell>
          <cell r="BH589">
            <v>0</v>
          </cell>
          <cell r="BI589">
            <v>5</v>
          </cell>
        </row>
        <row r="590">
          <cell r="C590" t="str">
            <v>Phan Lạc Khánh</v>
          </cell>
          <cell r="D590">
            <v>1530</v>
          </cell>
          <cell r="G590">
            <v>1</v>
          </cell>
          <cell r="H590">
            <v>1</v>
          </cell>
          <cell r="L590">
            <v>1</v>
          </cell>
          <cell r="N590">
            <v>1</v>
          </cell>
          <cell r="O590">
            <v>1</v>
          </cell>
          <cell r="S590">
            <v>1</v>
          </cell>
          <cell r="T590">
            <v>1</v>
          </cell>
          <cell r="U590">
            <v>1</v>
          </cell>
          <cell r="V590">
            <v>1</v>
          </cell>
          <cell r="Z590">
            <v>1</v>
          </cell>
          <cell r="AB590">
            <v>1</v>
          </cell>
          <cell r="AC590">
            <v>1</v>
          </cell>
          <cell r="AG590">
            <v>1</v>
          </cell>
          <cell r="AI590">
            <v>1</v>
          </cell>
          <cell r="AJ590">
            <v>1</v>
          </cell>
          <cell r="AN590">
            <v>1</v>
          </cell>
          <cell r="AP590">
            <v>1</v>
          </cell>
          <cell r="AQ590">
            <v>1</v>
          </cell>
          <cell r="AV590">
            <v>1</v>
          </cell>
          <cell r="AW590">
            <v>1</v>
          </cell>
          <cell r="AY590">
            <v>1</v>
          </cell>
          <cell r="BB590">
            <v>1</v>
          </cell>
          <cell r="BC590">
            <v>2</v>
          </cell>
          <cell r="BD590">
            <v>6</v>
          </cell>
          <cell r="BE590">
            <v>5</v>
          </cell>
          <cell r="BF590">
            <v>1</v>
          </cell>
          <cell r="BG590">
            <v>0</v>
          </cell>
          <cell r="BH590">
            <v>0</v>
          </cell>
          <cell r="BI590">
            <v>5</v>
          </cell>
        </row>
        <row r="591">
          <cell r="C591" t="str">
            <v>Vũ Thị Nhung</v>
          </cell>
          <cell r="D591">
            <v>1542</v>
          </cell>
          <cell r="G591">
            <v>1</v>
          </cell>
          <cell r="I591">
            <v>1</v>
          </cell>
          <cell r="N591">
            <v>1</v>
          </cell>
          <cell r="P591">
            <v>1</v>
          </cell>
          <cell r="U591">
            <v>1</v>
          </cell>
          <cell r="W591">
            <v>1</v>
          </cell>
          <cell r="AB591">
            <v>1</v>
          </cell>
          <cell r="AD591">
            <v>1</v>
          </cell>
          <cell r="AH591">
            <v>1</v>
          </cell>
          <cell r="AI591">
            <v>1</v>
          </cell>
          <cell r="AJ591">
            <v>1</v>
          </cell>
          <cell r="AN591">
            <v>1</v>
          </cell>
          <cell r="AP591">
            <v>1</v>
          </cell>
          <cell r="AW591">
            <v>1</v>
          </cell>
          <cell r="AX591">
            <v>1</v>
          </cell>
          <cell r="BB591">
            <v>1</v>
          </cell>
          <cell r="BC591">
            <v>1</v>
          </cell>
          <cell r="BD591">
            <v>6</v>
          </cell>
          <cell r="BE591">
            <v>2</v>
          </cell>
          <cell r="BF591">
            <v>3</v>
          </cell>
          <cell r="BG591">
            <v>0</v>
          </cell>
          <cell r="BH591">
            <v>0</v>
          </cell>
          <cell r="BI591">
            <v>2</v>
          </cell>
        </row>
        <row r="592">
          <cell r="C592" t="str">
            <v>Nguyễn Hùng Dương</v>
          </cell>
          <cell r="D592">
            <v>1577</v>
          </cell>
          <cell r="AD592">
            <v>1</v>
          </cell>
          <cell r="AI592">
            <v>1</v>
          </cell>
          <cell r="AJ592">
            <v>1</v>
          </cell>
          <cell r="AN592">
            <v>1</v>
          </cell>
          <cell r="AP592">
            <v>1</v>
          </cell>
          <cell r="AW592">
            <v>1</v>
          </cell>
          <cell r="AY592">
            <v>1</v>
          </cell>
          <cell r="BC592">
            <v>0</v>
          </cell>
          <cell r="BD592">
            <v>3</v>
          </cell>
          <cell r="BE592">
            <v>1</v>
          </cell>
          <cell r="BF592">
            <v>2</v>
          </cell>
          <cell r="BG592">
            <v>0</v>
          </cell>
          <cell r="BH592">
            <v>0</v>
          </cell>
          <cell r="BI592">
            <v>1</v>
          </cell>
        </row>
        <row r="593">
          <cell r="C593" t="str">
            <v>Nguyễn Thị Tú Uyên</v>
          </cell>
          <cell r="D593">
            <v>1581</v>
          </cell>
          <cell r="AP593">
            <v>1</v>
          </cell>
          <cell r="AW593">
            <v>1</v>
          </cell>
          <cell r="AY593">
            <v>1</v>
          </cell>
          <cell r="BC593">
            <v>0</v>
          </cell>
          <cell r="BD593">
            <v>2</v>
          </cell>
          <cell r="BE593">
            <v>0</v>
          </cell>
          <cell r="BF593">
            <v>1</v>
          </cell>
          <cell r="BG593">
            <v>0</v>
          </cell>
          <cell r="BH593">
            <v>0</v>
          </cell>
          <cell r="BI593">
            <v>0</v>
          </cell>
        </row>
        <row r="594">
          <cell r="C594" t="str">
            <v>Nguyễn Thu Quỳnh</v>
          </cell>
          <cell r="D594">
            <v>1544</v>
          </cell>
          <cell r="E594" t="str">
            <v>Trưởng phòng</v>
          </cell>
          <cell r="G594">
            <v>1</v>
          </cell>
          <cell r="H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G594">
            <v>1</v>
          </cell>
          <cell r="AH594">
            <v>1</v>
          </cell>
          <cell r="AI594">
            <v>1</v>
          </cell>
          <cell r="AJ594">
            <v>1</v>
          </cell>
          <cell r="AN594">
            <v>1</v>
          </cell>
          <cell r="AP594">
            <v>1</v>
          </cell>
          <cell r="AW594">
            <v>1</v>
          </cell>
          <cell r="AX594">
            <v>1</v>
          </cell>
          <cell r="BB594">
            <v>1</v>
          </cell>
          <cell r="BC594">
            <v>4</v>
          </cell>
          <cell r="BD594">
            <v>6</v>
          </cell>
          <cell r="BE594">
            <v>5</v>
          </cell>
          <cell r="BF594">
            <v>0</v>
          </cell>
          <cell r="BG594">
            <v>0</v>
          </cell>
          <cell r="BH594">
            <v>0</v>
          </cell>
          <cell r="BI594">
            <v>5</v>
          </cell>
        </row>
        <row r="595">
          <cell r="C595" t="str">
            <v>Phạm Quang Hải</v>
          </cell>
          <cell r="D595">
            <v>1583</v>
          </cell>
          <cell r="E595" t="str">
            <v>Phó trưởng phòng, PBTCB</v>
          </cell>
          <cell r="G595">
            <v>1</v>
          </cell>
          <cell r="H595">
            <v>1</v>
          </cell>
          <cell r="L595">
            <v>1</v>
          </cell>
          <cell r="N595">
            <v>1</v>
          </cell>
          <cell r="O595">
            <v>1</v>
          </cell>
          <cell r="S595">
            <v>1</v>
          </cell>
          <cell r="U595">
            <v>1</v>
          </cell>
          <cell r="V595">
            <v>1</v>
          </cell>
          <cell r="Z595">
            <v>1</v>
          </cell>
          <cell r="AA595">
            <v>1</v>
          </cell>
          <cell r="AB595">
            <v>1</v>
          </cell>
          <cell r="AC595">
            <v>1</v>
          </cell>
          <cell r="AG595">
            <v>1</v>
          </cell>
          <cell r="AH595">
            <v>1</v>
          </cell>
          <cell r="AI595">
            <v>1</v>
          </cell>
          <cell r="AJ595">
            <v>1</v>
          </cell>
          <cell r="AN595">
            <v>1</v>
          </cell>
          <cell r="AO595">
            <v>1</v>
          </cell>
          <cell r="AP595">
            <v>1</v>
          </cell>
          <cell r="AQ595">
            <v>1</v>
          </cell>
          <cell r="AU595">
            <v>1</v>
          </cell>
          <cell r="AW595">
            <v>1</v>
          </cell>
          <cell r="AY595">
            <v>1</v>
          </cell>
          <cell r="BC595">
            <v>3</v>
          </cell>
          <cell r="BD595">
            <v>5</v>
          </cell>
          <cell r="BE595">
            <v>4</v>
          </cell>
          <cell r="BF595">
            <v>1</v>
          </cell>
          <cell r="BG595">
            <v>0</v>
          </cell>
          <cell r="BH595">
            <v>0</v>
          </cell>
          <cell r="BI595">
            <v>4</v>
          </cell>
        </row>
        <row r="596">
          <cell r="C596" t="str">
            <v>Nguyễn Thị Huệ</v>
          </cell>
          <cell r="D596">
            <v>1584</v>
          </cell>
          <cell r="E596" t="str">
            <v>Phó trưởng phòng, BTCB</v>
          </cell>
          <cell r="G596">
            <v>1</v>
          </cell>
          <cell r="H596">
            <v>1</v>
          </cell>
          <cell r="L596">
            <v>1</v>
          </cell>
          <cell r="N596">
            <v>1</v>
          </cell>
          <cell r="O596">
            <v>1</v>
          </cell>
          <cell r="S596">
            <v>1</v>
          </cell>
          <cell r="U596">
            <v>1</v>
          </cell>
          <cell r="V596">
            <v>1</v>
          </cell>
          <cell r="Z596">
            <v>1</v>
          </cell>
          <cell r="AB596">
            <v>1</v>
          </cell>
          <cell r="AC596">
            <v>1</v>
          </cell>
          <cell r="AG596">
            <v>1</v>
          </cell>
          <cell r="AI596">
            <v>1</v>
          </cell>
          <cell r="AJ596">
            <v>1</v>
          </cell>
          <cell r="AN596">
            <v>1</v>
          </cell>
          <cell r="AP596">
            <v>1</v>
          </cell>
          <cell r="AQ596">
            <v>1</v>
          </cell>
          <cell r="AU596">
            <v>1</v>
          </cell>
          <cell r="AV596">
            <v>1</v>
          </cell>
          <cell r="AW596">
            <v>1</v>
          </cell>
          <cell r="AY596">
            <v>1</v>
          </cell>
          <cell r="BB596">
            <v>1</v>
          </cell>
          <cell r="BC596">
            <v>1</v>
          </cell>
          <cell r="BD596">
            <v>6</v>
          </cell>
          <cell r="BE596">
            <v>5</v>
          </cell>
          <cell r="BF596">
            <v>1</v>
          </cell>
          <cell r="BG596">
            <v>0</v>
          </cell>
          <cell r="BH596">
            <v>0</v>
          </cell>
          <cell r="BI596">
            <v>6</v>
          </cell>
        </row>
        <row r="597">
          <cell r="C597" t="str">
            <v>Vũ Thị Thu</v>
          </cell>
          <cell r="D597">
            <v>1585</v>
          </cell>
          <cell r="E597" t="str">
            <v>BTCĐ, CUV</v>
          </cell>
          <cell r="G597">
            <v>1</v>
          </cell>
          <cell r="H597">
            <v>1</v>
          </cell>
          <cell r="L597">
            <v>1</v>
          </cell>
          <cell r="N597">
            <v>1</v>
          </cell>
          <cell r="O597">
            <v>1</v>
          </cell>
          <cell r="S597">
            <v>1</v>
          </cell>
          <cell r="T597">
            <v>1</v>
          </cell>
          <cell r="U597">
            <v>1</v>
          </cell>
          <cell r="V597">
            <v>1</v>
          </cell>
          <cell r="Z597">
            <v>1</v>
          </cell>
          <cell r="AA597">
            <v>1</v>
          </cell>
          <cell r="AB597">
            <v>1</v>
          </cell>
          <cell r="AC597">
            <v>1</v>
          </cell>
          <cell r="AG597">
            <v>1</v>
          </cell>
          <cell r="AI597">
            <v>1</v>
          </cell>
          <cell r="AJ597">
            <v>1</v>
          </cell>
          <cell r="AN597">
            <v>1</v>
          </cell>
          <cell r="AP597">
            <v>1</v>
          </cell>
          <cell r="AQ597">
            <v>1</v>
          </cell>
          <cell r="AU597">
            <v>1</v>
          </cell>
          <cell r="AV597">
            <v>1</v>
          </cell>
          <cell r="AW597">
            <v>1</v>
          </cell>
          <cell r="AX597">
            <v>1</v>
          </cell>
          <cell r="BB597">
            <v>1</v>
          </cell>
          <cell r="BC597">
            <v>3</v>
          </cell>
          <cell r="BD597">
            <v>6</v>
          </cell>
          <cell r="BE597">
            <v>6</v>
          </cell>
          <cell r="BF597">
            <v>0</v>
          </cell>
          <cell r="BG597">
            <v>0</v>
          </cell>
          <cell r="BH597">
            <v>0</v>
          </cell>
          <cell r="BI597">
            <v>6</v>
          </cell>
        </row>
        <row r="598">
          <cell r="C598" t="str">
            <v>Nguyễn Ngọc Phương</v>
          </cell>
          <cell r="D598">
            <v>1586</v>
          </cell>
          <cell r="G598">
            <v>1</v>
          </cell>
          <cell r="I598">
            <v>1</v>
          </cell>
          <cell r="N598">
            <v>1</v>
          </cell>
          <cell r="P598">
            <v>1</v>
          </cell>
          <cell r="U598">
            <v>1</v>
          </cell>
          <cell r="W598">
            <v>1</v>
          </cell>
          <cell r="AB598">
            <v>1</v>
          </cell>
          <cell r="AC598">
            <v>1</v>
          </cell>
          <cell r="AG598">
            <v>1</v>
          </cell>
          <cell r="AI598">
            <v>1</v>
          </cell>
          <cell r="AJ598">
            <v>1</v>
          </cell>
          <cell r="AN598">
            <v>1</v>
          </cell>
          <cell r="AP598">
            <v>1</v>
          </cell>
          <cell r="AW598">
            <v>1</v>
          </cell>
          <cell r="AY598">
            <v>1</v>
          </cell>
          <cell r="BC598">
            <v>0</v>
          </cell>
          <cell r="BD598">
            <v>6</v>
          </cell>
          <cell r="BE598">
            <v>2</v>
          </cell>
          <cell r="BF598">
            <v>3</v>
          </cell>
          <cell r="BG598">
            <v>0</v>
          </cell>
          <cell r="BH598">
            <v>0</v>
          </cell>
          <cell r="BI598">
            <v>2</v>
          </cell>
        </row>
        <row r="599">
          <cell r="C599" t="str">
            <v>Nguyễn Thị Đào</v>
          </cell>
          <cell r="D599">
            <v>1589</v>
          </cell>
          <cell r="E599" t="str">
            <v>TTCĐ</v>
          </cell>
          <cell r="G599">
            <v>1</v>
          </cell>
          <cell r="H599">
            <v>1</v>
          </cell>
          <cell r="L599">
            <v>1</v>
          </cell>
          <cell r="N599">
            <v>1</v>
          </cell>
          <cell r="P599">
            <v>1</v>
          </cell>
          <cell r="U599">
            <v>1</v>
          </cell>
          <cell r="V599">
            <v>1</v>
          </cell>
          <cell r="Z599">
            <v>1</v>
          </cell>
          <cell r="AB599">
            <v>1</v>
          </cell>
          <cell r="AC599">
            <v>1</v>
          </cell>
          <cell r="AG599">
            <v>1</v>
          </cell>
          <cell r="AI599">
            <v>1</v>
          </cell>
          <cell r="AJ599">
            <v>1</v>
          </cell>
          <cell r="AN599">
            <v>1</v>
          </cell>
          <cell r="AP599">
            <v>1</v>
          </cell>
          <cell r="AQ599">
            <v>1</v>
          </cell>
          <cell r="AU599">
            <v>1</v>
          </cell>
          <cell r="AW599">
            <v>1</v>
          </cell>
          <cell r="AY599">
            <v>1</v>
          </cell>
          <cell r="BC599">
            <v>0</v>
          </cell>
          <cell r="BD599">
            <v>6</v>
          </cell>
          <cell r="BE599">
            <v>4</v>
          </cell>
          <cell r="BF599">
            <v>2</v>
          </cell>
          <cell r="BG599">
            <v>0</v>
          </cell>
          <cell r="BH599">
            <v>0</v>
          </cell>
          <cell r="BI599">
            <v>4</v>
          </cell>
        </row>
        <row r="600">
          <cell r="C600" t="str">
            <v>Ngô Quang Độ</v>
          </cell>
          <cell r="D600">
            <v>1591</v>
          </cell>
          <cell r="G600">
            <v>1</v>
          </cell>
          <cell r="I600">
            <v>1</v>
          </cell>
          <cell r="N600">
            <v>1</v>
          </cell>
          <cell r="P600">
            <v>1</v>
          </cell>
          <cell r="U600">
            <v>1</v>
          </cell>
          <cell r="W600">
            <v>1</v>
          </cell>
          <cell r="AB600">
            <v>1</v>
          </cell>
          <cell r="AC600">
            <v>1</v>
          </cell>
          <cell r="AG600">
            <v>1</v>
          </cell>
          <cell r="AI600">
            <v>1</v>
          </cell>
          <cell r="AJ600">
            <v>1</v>
          </cell>
          <cell r="AN600">
            <v>1</v>
          </cell>
          <cell r="AP600">
            <v>1</v>
          </cell>
          <cell r="AW600">
            <v>1</v>
          </cell>
          <cell r="AY600">
            <v>1</v>
          </cell>
          <cell r="BC600">
            <v>0</v>
          </cell>
          <cell r="BD600">
            <v>6</v>
          </cell>
          <cell r="BE600">
            <v>2</v>
          </cell>
          <cell r="BF600">
            <v>3</v>
          </cell>
          <cell r="BG600">
            <v>0</v>
          </cell>
          <cell r="BH600">
            <v>0</v>
          </cell>
          <cell r="BI600">
            <v>2</v>
          </cell>
        </row>
        <row r="601">
          <cell r="C601" t="str">
            <v>Nguyễn Thị Huyền Trang</v>
          </cell>
          <cell r="D601">
            <v>1592</v>
          </cell>
          <cell r="G601">
            <v>1</v>
          </cell>
          <cell r="I601">
            <v>1</v>
          </cell>
          <cell r="N601">
            <v>1</v>
          </cell>
          <cell r="P601">
            <v>1</v>
          </cell>
          <cell r="U601">
            <v>1</v>
          </cell>
          <cell r="V601">
            <v>1</v>
          </cell>
          <cell r="Z601">
            <v>1</v>
          </cell>
          <cell r="AB601">
            <v>1</v>
          </cell>
          <cell r="AD601">
            <v>1</v>
          </cell>
          <cell r="AI601">
            <v>1</v>
          </cell>
          <cell r="AJ601">
            <v>1</v>
          </cell>
          <cell r="AN601">
            <v>1</v>
          </cell>
          <cell r="AO601">
            <v>1</v>
          </cell>
          <cell r="AP601">
            <v>1</v>
          </cell>
          <cell r="AQ601">
            <v>1</v>
          </cell>
          <cell r="AU601">
            <v>1</v>
          </cell>
          <cell r="AW601">
            <v>1</v>
          </cell>
          <cell r="AY601">
            <v>1</v>
          </cell>
          <cell r="BC601">
            <v>1</v>
          </cell>
          <cell r="BD601">
            <v>6</v>
          </cell>
          <cell r="BE601">
            <v>3</v>
          </cell>
          <cell r="BF601">
            <v>3</v>
          </cell>
          <cell r="BG601">
            <v>0</v>
          </cell>
          <cell r="BH601">
            <v>0</v>
          </cell>
          <cell r="BI601">
            <v>3</v>
          </cell>
        </row>
        <row r="602">
          <cell r="C602" t="str">
            <v>Nguyễn Việt Dũng</v>
          </cell>
          <cell r="D602">
            <v>1593</v>
          </cell>
          <cell r="P602">
            <v>1</v>
          </cell>
          <cell r="U602">
            <v>1</v>
          </cell>
          <cell r="W602">
            <v>1</v>
          </cell>
          <cell r="AB602">
            <v>1</v>
          </cell>
          <cell r="AC602">
            <v>1</v>
          </cell>
          <cell r="AG602">
            <v>1</v>
          </cell>
          <cell r="AI602">
            <v>1</v>
          </cell>
          <cell r="AJ602">
            <v>1</v>
          </cell>
          <cell r="AN602">
            <v>1</v>
          </cell>
          <cell r="AP602">
            <v>1</v>
          </cell>
          <cell r="AW602">
            <v>1</v>
          </cell>
          <cell r="AY602">
            <v>1</v>
          </cell>
          <cell r="BC602">
            <v>0</v>
          </cell>
          <cell r="BD602">
            <v>5</v>
          </cell>
          <cell r="BE602">
            <v>2</v>
          </cell>
          <cell r="BF602">
            <v>3</v>
          </cell>
          <cell r="BG602">
            <v>0</v>
          </cell>
          <cell r="BH602">
            <v>0</v>
          </cell>
          <cell r="BI602">
            <v>2</v>
          </cell>
        </row>
        <row r="603">
          <cell r="C603" t="str">
            <v>Tăng Quang Minh</v>
          </cell>
          <cell r="D603">
            <v>1594</v>
          </cell>
          <cell r="P603">
            <v>1</v>
          </cell>
          <cell r="U603">
            <v>1</v>
          </cell>
          <cell r="W603">
            <v>1</v>
          </cell>
          <cell r="AB603">
            <v>1</v>
          </cell>
          <cell r="AC603">
            <v>1</v>
          </cell>
          <cell r="AG603">
            <v>1</v>
          </cell>
          <cell r="AI603">
            <v>1</v>
          </cell>
          <cell r="AJ603">
            <v>1</v>
          </cell>
          <cell r="AN603">
            <v>1</v>
          </cell>
          <cell r="AP603">
            <v>1</v>
          </cell>
          <cell r="AW603">
            <v>1</v>
          </cell>
          <cell r="AY603">
            <v>1</v>
          </cell>
          <cell r="BC603">
            <v>0</v>
          </cell>
          <cell r="BD603">
            <v>5</v>
          </cell>
          <cell r="BE603">
            <v>2</v>
          </cell>
          <cell r="BF603">
            <v>3</v>
          </cell>
          <cell r="BG603">
            <v>0</v>
          </cell>
          <cell r="BH603">
            <v>0</v>
          </cell>
          <cell r="BI603">
            <v>2</v>
          </cell>
        </row>
        <row r="604">
          <cell r="C604" t="str">
            <v>Vũ Văn Hùng</v>
          </cell>
          <cell r="D604">
            <v>1301</v>
          </cell>
          <cell r="E604" t="str">
            <v>Trưởng phòng</v>
          </cell>
          <cell r="F604">
            <v>1</v>
          </cell>
          <cell r="G604">
            <v>1</v>
          </cell>
          <cell r="H604">
            <v>1</v>
          </cell>
          <cell r="L604">
            <v>1</v>
          </cell>
          <cell r="N604">
            <v>1</v>
          </cell>
          <cell r="O604">
            <v>1</v>
          </cell>
          <cell r="S604">
            <v>1</v>
          </cell>
          <cell r="U604">
            <v>1</v>
          </cell>
          <cell r="V604">
            <v>1</v>
          </cell>
          <cell r="Z604">
            <v>1</v>
          </cell>
          <cell r="AA604">
            <v>1</v>
          </cell>
          <cell r="AB604">
            <v>1</v>
          </cell>
          <cell r="AC604">
            <v>1</v>
          </cell>
          <cell r="AG604">
            <v>1</v>
          </cell>
          <cell r="AH604">
            <v>1</v>
          </cell>
          <cell r="AI604">
            <v>1</v>
          </cell>
          <cell r="AJ604">
            <v>1</v>
          </cell>
          <cell r="AN604">
            <v>1</v>
          </cell>
          <cell r="AO604">
            <v>1</v>
          </cell>
          <cell r="AP604">
            <v>1</v>
          </cell>
          <cell r="AQ604">
            <v>1</v>
          </cell>
          <cell r="AV604">
            <v>1</v>
          </cell>
          <cell r="AW604">
            <v>1</v>
          </cell>
          <cell r="AY604">
            <v>1</v>
          </cell>
          <cell r="BB604">
            <v>1</v>
          </cell>
          <cell r="BC604">
            <v>4</v>
          </cell>
          <cell r="BD604">
            <v>6</v>
          </cell>
          <cell r="BE604">
            <v>5</v>
          </cell>
          <cell r="BF604">
            <v>1</v>
          </cell>
          <cell r="BG604">
            <v>0</v>
          </cell>
          <cell r="BH604">
            <v>0</v>
          </cell>
          <cell r="BI604">
            <v>5</v>
          </cell>
        </row>
        <row r="605">
          <cell r="C605" t="str">
            <v>Đào Thị Thu Hải</v>
          </cell>
          <cell r="D605">
            <v>1598</v>
          </cell>
          <cell r="E605" t="str">
            <v>Phó trưởng phòng, PBTCB</v>
          </cell>
          <cell r="G605">
            <v>1</v>
          </cell>
          <cell r="H605">
            <v>1</v>
          </cell>
          <cell r="L605">
            <v>1</v>
          </cell>
          <cell r="M605">
            <v>1</v>
          </cell>
          <cell r="N605">
            <v>1</v>
          </cell>
          <cell r="O605">
            <v>1</v>
          </cell>
          <cell r="S605">
            <v>1</v>
          </cell>
          <cell r="U605">
            <v>1</v>
          </cell>
          <cell r="V605">
            <v>1</v>
          </cell>
          <cell r="Z605">
            <v>1</v>
          </cell>
          <cell r="AA605">
            <v>1</v>
          </cell>
          <cell r="AB605">
            <v>1</v>
          </cell>
          <cell r="AC605">
            <v>1</v>
          </cell>
          <cell r="AG605">
            <v>1</v>
          </cell>
          <cell r="AI605">
            <v>1</v>
          </cell>
          <cell r="AJ605">
            <v>1</v>
          </cell>
          <cell r="AN605">
            <v>1</v>
          </cell>
          <cell r="AP605">
            <v>1</v>
          </cell>
          <cell r="AQ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BB605">
            <v>1</v>
          </cell>
          <cell r="BC605">
            <v>3</v>
          </cell>
          <cell r="BD605">
            <v>6</v>
          </cell>
          <cell r="BE605">
            <v>6</v>
          </cell>
          <cell r="BF605">
            <v>0</v>
          </cell>
          <cell r="BG605">
            <v>0</v>
          </cell>
          <cell r="BH605">
            <v>0</v>
          </cell>
          <cell r="BI605">
            <v>6</v>
          </cell>
        </row>
        <row r="606">
          <cell r="C606" t="str">
            <v>Vũ Thị Hồng Hạnh</v>
          </cell>
          <cell r="D606">
            <v>1599</v>
          </cell>
          <cell r="E606" t="str">
            <v>Phó trưởng phòng, CUV</v>
          </cell>
          <cell r="F606">
            <v>1</v>
          </cell>
          <cell r="G606">
            <v>1</v>
          </cell>
          <cell r="H606">
            <v>1</v>
          </cell>
          <cell r="L606">
            <v>1</v>
          </cell>
          <cell r="N606">
            <v>1</v>
          </cell>
          <cell r="O606">
            <v>1</v>
          </cell>
          <cell r="S606">
            <v>1</v>
          </cell>
          <cell r="U606">
            <v>1</v>
          </cell>
          <cell r="V606">
            <v>1</v>
          </cell>
          <cell r="Z606">
            <v>1</v>
          </cell>
          <cell r="AB606">
            <v>1</v>
          </cell>
          <cell r="AC606">
            <v>1</v>
          </cell>
          <cell r="AG606">
            <v>1</v>
          </cell>
          <cell r="AH606">
            <v>1</v>
          </cell>
          <cell r="AI606">
            <v>1</v>
          </cell>
          <cell r="AJ606">
            <v>1</v>
          </cell>
          <cell r="AN606">
            <v>1</v>
          </cell>
          <cell r="AP606">
            <v>1</v>
          </cell>
          <cell r="AQ606">
            <v>1</v>
          </cell>
          <cell r="AU606">
            <v>1</v>
          </cell>
          <cell r="AW606">
            <v>1</v>
          </cell>
          <cell r="AX606">
            <v>1</v>
          </cell>
          <cell r="BB606">
            <v>1</v>
          </cell>
          <cell r="BC606">
            <v>1</v>
          </cell>
          <cell r="BD606">
            <v>6</v>
          </cell>
          <cell r="BE606">
            <v>6</v>
          </cell>
          <cell r="BF606">
            <v>0</v>
          </cell>
          <cell r="BG606">
            <v>0</v>
          </cell>
          <cell r="BH606">
            <v>0</v>
          </cell>
          <cell r="BI606">
            <v>6</v>
          </cell>
        </row>
        <row r="607">
          <cell r="C607" t="str">
            <v>Lại Thị Tuyết Mai</v>
          </cell>
          <cell r="D607">
            <v>1600</v>
          </cell>
          <cell r="G607">
            <v>1</v>
          </cell>
          <cell r="I607">
            <v>1</v>
          </cell>
          <cell r="N607">
            <v>1</v>
          </cell>
          <cell r="P607">
            <v>1</v>
          </cell>
          <cell r="U607">
            <v>1</v>
          </cell>
          <cell r="W607">
            <v>1</v>
          </cell>
          <cell r="AB607">
            <v>1</v>
          </cell>
          <cell r="AD607">
            <v>1</v>
          </cell>
          <cell r="AI607">
            <v>1</v>
          </cell>
          <cell r="AK607">
            <v>1</v>
          </cell>
          <cell r="AP607">
            <v>1</v>
          </cell>
          <cell r="AW607">
            <v>1</v>
          </cell>
          <cell r="AY607">
            <v>1</v>
          </cell>
          <cell r="BC607">
            <v>0</v>
          </cell>
          <cell r="BD607">
            <v>6</v>
          </cell>
          <cell r="BE607">
            <v>0</v>
          </cell>
          <cell r="BF607">
            <v>5</v>
          </cell>
          <cell r="BG607">
            <v>0</v>
          </cell>
          <cell r="BH607">
            <v>0</v>
          </cell>
          <cell r="BI607">
            <v>0</v>
          </cell>
        </row>
        <row r="608">
          <cell r="C608" t="str">
            <v>Đặng Thị Hải Hằng</v>
          </cell>
          <cell r="D608">
            <v>1601</v>
          </cell>
          <cell r="E608" t="str">
            <v>CTCĐ</v>
          </cell>
          <cell r="G608">
            <v>1</v>
          </cell>
          <cell r="H608">
            <v>1</v>
          </cell>
          <cell r="L608">
            <v>1</v>
          </cell>
          <cell r="M608">
            <v>1</v>
          </cell>
          <cell r="N608">
            <v>1</v>
          </cell>
          <cell r="O608">
            <v>1</v>
          </cell>
          <cell r="S608">
            <v>1</v>
          </cell>
          <cell r="U608">
            <v>1</v>
          </cell>
          <cell r="V608">
            <v>1</v>
          </cell>
          <cell r="Z608">
            <v>1</v>
          </cell>
          <cell r="AA608">
            <v>1</v>
          </cell>
          <cell r="AB608">
            <v>1</v>
          </cell>
          <cell r="AC608">
            <v>1</v>
          </cell>
          <cell r="AG608">
            <v>1</v>
          </cell>
          <cell r="AI608">
            <v>1</v>
          </cell>
          <cell r="AJ608">
            <v>1</v>
          </cell>
          <cell r="AN608">
            <v>1</v>
          </cell>
          <cell r="AO608">
            <v>1</v>
          </cell>
          <cell r="AP608">
            <v>1</v>
          </cell>
          <cell r="AQ608">
            <v>1</v>
          </cell>
          <cell r="AU608">
            <v>1</v>
          </cell>
          <cell r="AW608">
            <v>1</v>
          </cell>
          <cell r="AY608">
            <v>1</v>
          </cell>
          <cell r="BC608">
            <v>3</v>
          </cell>
          <cell r="BD608">
            <v>6</v>
          </cell>
          <cell r="BE608">
            <v>5</v>
          </cell>
          <cell r="BF608">
            <v>1</v>
          </cell>
          <cell r="BG608">
            <v>0</v>
          </cell>
          <cell r="BH608">
            <v>0</v>
          </cell>
          <cell r="BI608">
            <v>5</v>
          </cell>
        </row>
        <row r="609">
          <cell r="C609" t="str">
            <v>Nguyễn Thị Thu Hương</v>
          </cell>
          <cell r="D609">
            <v>1602</v>
          </cell>
          <cell r="G609">
            <v>1</v>
          </cell>
          <cell r="H609">
            <v>1</v>
          </cell>
          <cell r="L609">
            <v>1</v>
          </cell>
          <cell r="N609">
            <v>1</v>
          </cell>
          <cell r="P609">
            <v>1</v>
          </cell>
          <cell r="U609">
            <v>1</v>
          </cell>
          <cell r="V609">
            <v>1</v>
          </cell>
          <cell r="Z609">
            <v>1</v>
          </cell>
          <cell r="AB609">
            <v>1</v>
          </cell>
          <cell r="AC609">
            <v>1</v>
          </cell>
          <cell r="AG609">
            <v>1</v>
          </cell>
          <cell r="AH609">
            <v>1</v>
          </cell>
          <cell r="AI609">
            <v>1</v>
          </cell>
          <cell r="AJ609">
            <v>1</v>
          </cell>
          <cell r="AN609">
            <v>1</v>
          </cell>
          <cell r="AP609">
            <v>1</v>
          </cell>
          <cell r="AQ609">
            <v>1</v>
          </cell>
          <cell r="AU609">
            <v>1</v>
          </cell>
          <cell r="AW609">
            <v>1</v>
          </cell>
          <cell r="AY609">
            <v>1</v>
          </cell>
          <cell r="BC609">
            <v>1</v>
          </cell>
          <cell r="BD609">
            <v>6</v>
          </cell>
          <cell r="BE609">
            <v>4</v>
          </cell>
          <cell r="BF609">
            <v>2</v>
          </cell>
          <cell r="BG609">
            <v>0</v>
          </cell>
          <cell r="BH609">
            <v>0</v>
          </cell>
          <cell r="BI609">
            <v>4</v>
          </cell>
        </row>
        <row r="610">
          <cell r="C610" t="str">
            <v>Trần Thị Quỳnh Hoa</v>
          </cell>
          <cell r="D610">
            <v>1603</v>
          </cell>
          <cell r="G610">
            <v>1</v>
          </cell>
          <cell r="H610">
            <v>1</v>
          </cell>
          <cell r="L610">
            <v>1</v>
          </cell>
          <cell r="N610">
            <v>1</v>
          </cell>
          <cell r="P610">
            <v>1</v>
          </cell>
          <cell r="U610">
            <v>1</v>
          </cell>
          <cell r="V610">
            <v>1</v>
          </cell>
          <cell r="Z610">
            <v>1</v>
          </cell>
          <cell r="AA610">
            <v>1</v>
          </cell>
          <cell r="AB610">
            <v>1</v>
          </cell>
          <cell r="AC610">
            <v>1</v>
          </cell>
          <cell r="AG610">
            <v>1</v>
          </cell>
          <cell r="AI610">
            <v>1</v>
          </cell>
          <cell r="AJ610">
            <v>1</v>
          </cell>
          <cell r="AN610">
            <v>1</v>
          </cell>
          <cell r="AP610">
            <v>1</v>
          </cell>
          <cell r="AQ610">
            <v>1</v>
          </cell>
          <cell r="AU610">
            <v>1</v>
          </cell>
          <cell r="AW610">
            <v>1</v>
          </cell>
          <cell r="AY610">
            <v>1</v>
          </cell>
          <cell r="BC610">
            <v>1</v>
          </cell>
          <cell r="BD610">
            <v>6</v>
          </cell>
          <cell r="BE610">
            <v>4</v>
          </cell>
          <cell r="BF610">
            <v>2</v>
          </cell>
          <cell r="BG610">
            <v>0</v>
          </cell>
          <cell r="BH610">
            <v>0</v>
          </cell>
          <cell r="BI610">
            <v>4</v>
          </cell>
        </row>
        <row r="611">
          <cell r="C611" t="str">
            <v>Nguyễn Ngọc Bảo</v>
          </cell>
          <cell r="D611">
            <v>1604</v>
          </cell>
          <cell r="G611">
            <v>1</v>
          </cell>
          <cell r="I611">
            <v>1</v>
          </cell>
          <cell r="N611">
            <v>1</v>
          </cell>
          <cell r="O611">
            <v>1</v>
          </cell>
          <cell r="S611">
            <v>1</v>
          </cell>
          <cell r="U611">
            <v>1</v>
          </cell>
          <cell r="V611">
            <v>1</v>
          </cell>
          <cell r="Z611">
            <v>1</v>
          </cell>
          <cell r="AB611">
            <v>1</v>
          </cell>
          <cell r="AD611">
            <v>1</v>
          </cell>
          <cell r="AI611">
            <v>1</v>
          </cell>
          <cell r="AJ611">
            <v>1</v>
          </cell>
          <cell r="AN611">
            <v>1</v>
          </cell>
          <cell r="AP611">
            <v>1</v>
          </cell>
          <cell r="AW611">
            <v>1</v>
          </cell>
          <cell r="AY611">
            <v>1</v>
          </cell>
          <cell r="BC611">
            <v>0</v>
          </cell>
          <cell r="BD611">
            <v>6</v>
          </cell>
          <cell r="BE611">
            <v>3</v>
          </cell>
          <cell r="BF611">
            <v>2</v>
          </cell>
          <cell r="BG611">
            <v>0</v>
          </cell>
          <cell r="BH611">
            <v>0</v>
          </cell>
          <cell r="BI611">
            <v>3</v>
          </cell>
        </row>
        <row r="612">
          <cell r="C612" t="str">
            <v>Phạm Thị Thanh Bình</v>
          </cell>
          <cell r="D612">
            <v>1605</v>
          </cell>
          <cell r="G612">
            <v>1</v>
          </cell>
          <cell r="H612">
            <v>1</v>
          </cell>
          <cell r="L612">
            <v>1</v>
          </cell>
          <cell r="N612">
            <v>1</v>
          </cell>
          <cell r="O612">
            <v>1</v>
          </cell>
          <cell r="S612">
            <v>1</v>
          </cell>
          <cell r="T612">
            <v>1</v>
          </cell>
          <cell r="U612">
            <v>1</v>
          </cell>
          <cell r="V612">
            <v>1</v>
          </cell>
          <cell r="Z612">
            <v>1</v>
          </cell>
          <cell r="AB612">
            <v>1</v>
          </cell>
          <cell r="AC612">
            <v>1</v>
          </cell>
          <cell r="AG612">
            <v>1</v>
          </cell>
          <cell r="AI612">
            <v>1</v>
          </cell>
          <cell r="AJ612">
            <v>1</v>
          </cell>
          <cell r="AN612">
            <v>1</v>
          </cell>
          <cell r="AO612">
            <v>1</v>
          </cell>
          <cell r="AP612">
            <v>1</v>
          </cell>
          <cell r="AQ612">
            <v>1</v>
          </cell>
          <cell r="AU612">
            <v>1</v>
          </cell>
          <cell r="AW612">
            <v>1</v>
          </cell>
          <cell r="AY612">
            <v>1</v>
          </cell>
          <cell r="BC612">
            <v>2</v>
          </cell>
          <cell r="BD612">
            <v>6</v>
          </cell>
          <cell r="BE612">
            <v>5</v>
          </cell>
          <cell r="BF612">
            <v>1</v>
          </cell>
          <cell r="BG612">
            <v>0</v>
          </cell>
          <cell r="BH612">
            <v>0</v>
          </cell>
          <cell r="BI612">
            <v>5</v>
          </cell>
        </row>
        <row r="613">
          <cell r="C613" t="str">
            <v xml:space="preserve">Đoàn Ngọc Phước </v>
          </cell>
          <cell r="D613">
            <v>1607</v>
          </cell>
          <cell r="G613">
            <v>1</v>
          </cell>
          <cell r="H613">
            <v>1</v>
          </cell>
          <cell r="L613">
            <v>1</v>
          </cell>
          <cell r="N613">
            <v>1</v>
          </cell>
          <cell r="O613">
            <v>1</v>
          </cell>
          <cell r="S613">
            <v>1</v>
          </cell>
          <cell r="U613">
            <v>1</v>
          </cell>
          <cell r="V613">
            <v>1</v>
          </cell>
          <cell r="Z613">
            <v>1</v>
          </cell>
          <cell r="AB613">
            <v>1</v>
          </cell>
          <cell r="AC613">
            <v>1</v>
          </cell>
          <cell r="AG613">
            <v>1</v>
          </cell>
          <cell r="AI613">
            <v>1</v>
          </cell>
          <cell r="AJ613">
            <v>1</v>
          </cell>
          <cell r="AN613">
            <v>1</v>
          </cell>
          <cell r="AP613">
            <v>1</v>
          </cell>
          <cell r="AQ613">
            <v>1</v>
          </cell>
          <cell r="AU613">
            <v>1</v>
          </cell>
          <cell r="AV613">
            <v>1</v>
          </cell>
          <cell r="AW613">
            <v>1</v>
          </cell>
          <cell r="AX613">
            <v>1</v>
          </cell>
          <cell r="BB613">
            <v>1</v>
          </cell>
          <cell r="BC613">
            <v>1</v>
          </cell>
          <cell r="BD613">
            <v>6</v>
          </cell>
          <cell r="BE613">
            <v>6</v>
          </cell>
          <cell r="BF613">
            <v>0</v>
          </cell>
          <cell r="BG613">
            <v>0</v>
          </cell>
          <cell r="BH613">
            <v>0</v>
          </cell>
          <cell r="BI613">
            <v>6</v>
          </cell>
        </row>
        <row r="614">
          <cell r="C614" t="str">
            <v>Trần Thị Thủy</v>
          </cell>
          <cell r="D614">
            <v>1608</v>
          </cell>
          <cell r="G614">
            <v>1</v>
          </cell>
          <cell r="H614">
            <v>1</v>
          </cell>
          <cell r="L614">
            <v>1</v>
          </cell>
          <cell r="N614">
            <v>1</v>
          </cell>
          <cell r="O614">
            <v>1</v>
          </cell>
          <cell r="S614">
            <v>1</v>
          </cell>
          <cell r="U614">
            <v>1</v>
          </cell>
          <cell r="W614">
            <v>1</v>
          </cell>
          <cell r="AB614">
            <v>1</v>
          </cell>
          <cell r="AC614">
            <v>1</v>
          </cell>
          <cell r="AG614">
            <v>1</v>
          </cell>
          <cell r="AH614">
            <v>1</v>
          </cell>
          <cell r="AI614">
            <v>1</v>
          </cell>
          <cell r="AJ614">
            <v>1</v>
          </cell>
          <cell r="AN614">
            <v>1</v>
          </cell>
          <cell r="AP614">
            <v>1</v>
          </cell>
          <cell r="AQ614">
            <v>1</v>
          </cell>
          <cell r="AU614">
            <v>1</v>
          </cell>
          <cell r="AW614">
            <v>1</v>
          </cell>
          <cell r="AY614">
            <v>1</v>
          </cell>
          <cell r="BC614">
            <v>1</v>
          </cell>
          <cell r="BD614">
            <v>6</v>
          </cell>
          <cell r="BE614">
            <v>4</v>
          </cell>
          <cell r="BF614">
            <v>2</v>
          </cell>
          <cell r="BG614">
            <v>0</v>
          </cell>
          <cell r="BH614">
            <v>0</v>
          </cell>
          <cell r="BI614">
            <v>4</v>
          </cell>
        </row>
        <row r="615">
          <cell r="C615" t="str">
            <v>Đào Việt Anh</v>
          </cell>
          <cell r="D615">
            <v>1609</v>
          </cell>
          <cell r="E615" t="str">
            <v>BTCĐ</v>
          </cell>
          <cell r="G615">
            <v>1</v>
          </cell>
          <cell r="I615">
            <v>1</v>
          </cell>
          <cell r="N615">
            <v>1</v>
          </cell>
          <cell r="P615">
            <v>1</v>
          </cell>
          <cell r="U615">
            <v>1</v>
          </cell>
          <cell r="V615">
            <v>1</v>
          </cell>
          <cell r="Z615">
            <v>1</v>
          </cell>
          <cell r="AB615">
            <v>1</v>
          </cell>
          <cell r="AC615">
            <v>1</v>
          </cell>
          <cell r="AG615">
            <v>1</v>
          </cell>
          <cell r="AI615">
            <v>1</v>
          </cell>
          <cell r="AJ615">
            <v>1</v>
          </cell>
          <cell r="AN615">
            <v>1</v>
          </cell>
          <cell r="AP615">
            <v>1</v>
          </cell>
          <cell r="AW615">
            <v>1</v>
          </cell>
          <cell r="AY615">
            <v>1</v>
          </cell>
          <cell r="BC615">
            <v>0</v>
          </cell>
          <cell r="BD615">
            <v>6</v>
          </cell>
          <cell r="BE615">
            <v>3</v>
          </cell>
          <cell r="BF615">
            <v>2</v>
          </cell>
          <cell r="BG615">
            <v>0</v>
          </cell>
          <cell r="BH615">
            <v>0</v>
          </cell>
          <cell r="BI615">
            <v>3</v>
          </cell>
        </row>
        <row r="616">
          <cell r="C616" t="str">
            <v>Mai Lan Phương</v>
          </cell>
          <cell r="D616">
            <v>1610</v>
          </cell>
          <cell r="G616">
            <v>1</v>
          </cell>
          <cell r="I616">
            <v>1</v>
          </cell>
          <cell r="N616">
            <v>1</v>
          </cell>
          <cell r="P616">
            <v>1</v>
          </cell>
          <cell r="U616">
            <v>1</v>
          </cell>
          <cell r="V616">
            <v>1</v>
          </cell>
          <cell r="Z616">
            <v>1</v>
          </cell>
          <cell r="AB616">
            <v>1</v>
          </cell>
          <cell r="AC616">
            <v>1</v>
          </cell>
          <cell r="AG616">
            <v>1</v>
          </cell>
          <cell r="AI616">
            <v>1</v>
          </cell>
          <cell r="AJ616">
            <v>1</v>
          </cell>
          <cell r="AN616">
            <v>1</v>
          </cell>
          <cell r="AO616">
            <v>1</v>
          </cell>
          <cell r="AP616">
            <v>1</v>
          </cell>
          <cell r="AQ616">
            <v>1</v>
          </cell>
          <cell r="AU616">
            <v>1</v>
          </cell>
          <cell r="AW616">
            <v>1</v>
          </cell>
          <cell r="AY616">
            <v>1</v>
          </cell>
          <cell r="BC616">
            <v>1</v>
          </cell>
          <cell r="BD616">
            <v>6</v>
          </cell>
          <cell r="BE616">
            <v>4</v>
          </cell>
          <cell r="BF616">
            <v>2</v>
          </cell>
          <cell r="BG616">
            <v>0</v>
          </cell>
          <cell r="BH616">
            <v>0</v>
          </cell>
          <cell r="BI616">
            <v>4</v>
          </cell>
        </row>
        <row r="617">
          <cell r="C617" t="str">
            <v>Nguyễn Hoài Thu</v>
          </cell>
          <cell r="D617">
            <v>1611</v>
          </cell>
          <cell r="G617">
            <v>1</v>
          </cell>
          <cell r="I617">
            <v>1</v>
          </cell>
          <cell r="N617">
            <v>1</v>
          </cell>
          <cell r="P617">
            <v>1</v>
          </cell>
          <cell r="U617">
            <v>1</v>
          </cell>
          <cell r="V617">
            <v>1</v>
          </cell>
          <cell r="Z617">
            <v>1</v>
          </cell>
          <cell r="AB617">
            <v>1</v>
          </cell>
          <cell r="AC617">
            <v>1</v>
          </cell>
          <cell r="AG617">
            <v>1</v>
          </cell>
          <cell r="AI617">
            <v>1</v>
          </cell>
          <cell r="AJ617">
            <v>1</v>
          </cell>
          <cell r="AN617">
            <v>1</v>
          </cell>
          <cell r="AP617">
            <v>1</v>
          </cell>
          <cell r="AW617">
            <v>1</v>
          </cell>
          <cell r="AY617">
            <v>1</v>
          </cell>
          <cell r="BC617">
            <v>0</v>
          </cell>
          <cell r="BD617">
            <v>6</v>
          </cell>
          <cell r="BE617">
            <v>3</v>
          </cell>
          <cell r="BF617">
            <v>2</v>
          </cell>
          <cell r="BG617">
            <v>0</v>
          </cell>
          <cell r="BH617">
            <v>0</v>
          </cell>
          <cell r="BI617">
            <v>3</v>
          </cell>
        </row>
        <row r="618">
          <cell r="C618" t="str">
            <v>Lê Thị Hà Ngọc</v>
          </cell>
          <cell r="G618">
            <v>1</v>
          </cell>
          <cell r="I618">
            <v>1</v>
          </cell>
          <cell r="N618">
            <v>1</v>
          </cell>
          <cell r="P618">
            <v>1</v>
          </cell>
          <cell r="U618">
            <v>1</v>
          </cell>
          <cell r="W618">
            <v>1</v>
          </cell>
          <cell r="AB618">
            <v>1</v>
          </cell>
          <cell r="AD618">
            <v>1</v>
          </cell>
          <cell r="AL618">
            <v>1</v>
          </cell>
          <cell r="AP618">
            <v>1</v>
          </cell>
          <cell r="BC618">
            <v>0</v>
          </cell>
          <cell r="BD618">
            <v>4</v>
          </cell>
          <cell r="BE618">
            <v>0</v>
          </cell>
          <cell r="BF618">
            <v>3</v>
          </cell>
          <cell r="BG618">
            <v>1</v>
          </cell>
          <cell r="BH618">
            <v>0</v>
          </cell>
          <cell r="BI618">
            <v>0</v>
          </cell>
        </row>
        <row r="619">
          <cell r="C619" t="str">
            <v>Phạm Thanh Phong</v>
          </cell>
          <cell r="D619">
            <v>1613</v>
          </cell>
          <cell r="I619">
            <v>1</v>
          </cell>
          <cell r="N619">
            <v>1</v>
          </cell>
          <cell r="P619">
            <v>1</v>
          </cell>
          <cell r="U619">
            <v>1</v>
          </cell>
          <cell r="W619">
            <v>1</v>
          </cell>
          <cell r="AB619">
            <v>1</v>
          </cell>
          <cell r="AD619">
            <v>1</v>
          </cell>
          <cell r="AI619">
            <v>1</v>
          </cell>
          <cell r="AJ619">
            <v>1</v>
          </cell>
          <cell r="AN619">
            <v>1</v>
          </cell>
          <cell r="AP619">
            <v>1</v>
          </cell>
          <cell r="AW619">
            <v>1</v>
          </cell>
          <cell r="AY619">
            <v>1</v>
          </cell>
          <cell r="BC619">
            <v>0</v>
          </cell>
          <cell r="BD619">
            <v>6</v>
          </cell>
          <cell r="BE619">
            <v>1</v>
          </cell>
          <cell r="BF619">
            <v>4</v>
          </cell>
          <cell r="BG619">
            <v>0</v>
          </cell>
          <cell r="BH619">
            <v>0</v>
          </cell>
          <cell r="BI619">
            <v>1</v>
          </cell>
        </row>
        <row r="620">
          <cell r="C620" t="str">
            <v>Trần Hoàng Giang</v>
          </cell>
          <cell r="D620">
            <v>1614</v>
          </cell>
          <cell r="X620">
            <v>1</v>
          </cell>
          <cell r="AB620">
            <v>1</v>
          </cell>
          <cell r="AD620">
            <v>1</v>
          </cell>
          <cell r="AI620">
            <v>1</v>
          </cell>
          <cell r="AJ620">
            <v>1</v>
          </cell>
          <cell r="AK620">
            <v>1</v>
          </cell>
          <cell r="AN620">
            <v>1</v>
          </cell>
          <cell r="AP620">
            <v>1</v>
          </cell>
          <cell r="AW620">
            <v>1</v>
          </cell>
          <cell r="AY620">
            <v>1</v>
          </cell>
          <cell r="BC620">
            <v>0</v>
          </cell>
          <cell r="BD620">
            <v>4</v>
          </cell>
          <cell r="BE620">
            <v>1</v>
          </cell>
          <cell r="BF620">
            <v>3</v>
          </cell>
          <cell r="BG620">
            <v>1</v>
          </cell>
          <cell r="BH620">
            <v>0</v>
          </cell>
          <cell r="BI620">
            <v>1</v>
          </cell>
        </row>
        <row r="621">
          <cell r="C621" t="str">
            <v>Nguyễn Trung Hải</v>
          </cell>
          <cell r="D621">
            <v>1615</v>
          </cell>
          <cell r="G621">
            <v>1</v>
          </cell>
          <cell r="H621">
            <v>1</v>
          </cell>
          <cell r="L621">
            <v>1</v>
          </cell>
          <cell r="M621">
            <v>1</v>
          </cell>
          <cell r="N621">
            <v>1</v>
          </cell>
          <cell r="O621">
            <v>1</v>
          </cell>
          <cell r="S621">
            <v>1</v>
          </cell>
          <cell r="U621">
            <v>1</v>
          </cell>
          <cell r="V621">
            <v>1</v>
          </cell>
          <cell r="Z621">
            <v>1</v>
          </cell>
          <cell r="AB621">
            <v>1</v>
          </cell>
          <cell r="AC621">
            <v>1</v>
          </cell>
          <cell r="AG621">
            <v>1</v>
          </cell>
          <cell r="AI621">
            <v>1</v>
          </cell>
          <cell r="AJ621">
            <v>1</v>
          </cell>
          <cell r="AN621">
            <v>1</v>
          </cell>
          <cell r="AP621">
            <v>1</v>
          </cell>
          <cell r="AQ621">
            <v>1</v>
          </cell>
          <cell r="AU621">
            <v>1</v>
          </cell>
          <cell r="AV621">
            <v>1</v>
          </cell>
          <cell r="AW621">
            <v>1</v>
          </cell>
          <cell r="AX621">
            <v>1</v>
          </cell>
          <cell r="BB621">
            <v>1</v>
          </cell>
          <cell r="BC621">
            <v>1</v>
          </cell>
          <cell r="BD621">
            <v>5</v>
          </cell>
          <cell r="BE621">
            <v>5</v>
          </cell>
          <cell r="BF621">
            <v>0</v>
          </cell>
          <cell r="BG621">
            <v>0</v>
          </cell>
          <cell r="BH621">
            <v>0</v>
          </cell>
          <cell r="BI621">
            <v>5</v>
          </cell>
        </row>
        <row r="622">
          <cell r="C622" t="str">
            <v xml:space="preserve">Nguyễn Thị Phương Thảo       </v>
          </cell>
          <cell r="D622">
            <v>1616</v>
          </cell>
          <cell r="AE622">
            <v>1</v>
          </cell>
          <cell r="AI622">
            <v>1</v>
          </cell>
          <cell r="AK622">
            <v>1</v>
          </cell>
          <cell r="AP622">
            <v>1</v>
          </cell>
          <cell r="AW622">
            <v>1</v>
          </cell>
          <cell r="AY622">
            <v>1</v>
          </cell>
          <cell r="BC622">
            <v>0</v>
          </cell>
          <cell r="BD622">
            <v>3</v>
          </cell>
          <cell r="BE622">
            <v>0</v>
          </cell>
          <cell r="BF622">
            <v>2</v>
          </cell>
          <cell r="BG622">
            <v>1</v>
          </cell>
          <cell r="BH622">
            <v>0</v>
          </cell>
          <cell r="BI622">
            <v>0</v>
          </cell>
        </row>
        <row r="623">
          <cell r="C623" t="str">
            <v>Bùi Tuấn Nguyên</v>
          </cell>
          <cell r="D623">
            <v>1618</v>
          </cell>
          <cell r="G623">
            <v>1</v>
          </cell>
          <cell r="I623">
            <v>1</v>
          </cell>
          <cell r="N623">
            <v>1</v>
          </cell>
          <cell r="P623">
            <v>1</v>
          </cell>
          <cell r="U623">
            <v>1</v>
          </cell>
          <cell r="V623">
            <v>1</v>
          </cell>
          <cell r="Z623">
            <v>1</v>
          </cell>
          <cell r="AA623">
            <v>1</v>
          </cell>
          <cell r="AB623">
            <v>1</v>
          </cell>
          <cell r="AC623">
            <v>1</v>
          </cell>
          <cell r="AG623">
            <v>1</v>
          </cell>
          <cell r="AI623">
            <v>1</v>
          </cell>
          <cell r="AK623">
            <v>1</v>
          </cell>
          <cell r="AP623">
            <v>1</v>
          </cell>
          <cell r="AW623">
            <v>1</v>
          </cell>
          <cell r="AY623">
            <v>1</v>
          </cell>
          <cell r="BC623">
            <v>1</v>
          </cell>
          <cell r="BD623">
            <v>6</v>
          </cell>
          <cell r="BE623">
            <v>2</v>
          </cell>
          <cell r="BF623">
            <v>3</v>
          </cell>
          <cell r="BG623">
            <v>0</v>
          </cell>
          <cell r="BH623">
            <v>0</v>
          </cell>
          <cell r="BI623">
            <v>2</v>
          </cell>
        </row>
        <row r="624">
          <cell r="C624" t="str">
            <v>Nguyễn Phong Phú</v>
          </cell>
          <cell r="D624">
            <v>1619</v>
          </cell>
          <cell r="G624">
            <v>1</v>
          </cell>
          <cell r="I624">
            <v>1</v>
          </cell>
          <cell r="N624">
            <v>1</v>
          </cell>
          <cell r="P624">
            <v>1</v>
          </cell>
          <cell r="U624">
            <v>1</v>
          </cell>
          <cell r="V624">
            <v>1</v>
          </cell>
          <cell r="Z624">
            <v>1</v>
          </cell>
          <cell r="AB624">
            <v>1</v>
          </cell>
          <cell r="AC624">
            <v>1</v>
          </cell>
          <cell r="AG624">
            <v>1</v>
          </cell>
          <cell r="AI624">
            <v>1</v>
          </cell>
          <cell r="AK624">
            <v>1</v>
          </cell>
          <cell r="AP624">
            <v>1</v>
          </cell>
          <cell r="AW624">
            <v>1</v>
          </cell>
          <cell r="AY624">
            <v>1</v>
          </cell>
          <cell r="BC624">
            <v>0</v>
          </cell>
          <cell r="BD624">
            <v>6</v>
          </cell>
          <cell r="BE624">
            <v>2</v>
          </cell>
          <cell r="BF624">
            <v>3</v>
          </cell>
          <cell r="BG624">
            <v>0</v>
          </cell>
          <cell r="BH624">
            <v>0</v>
          </cell>
          <cell r="BI624">
            <v>2</v>
          </cell>
        </row>
        <row r="625">
          <cell r="C625" t="str">
            <v>Nguyễn Thu Phương</v>
          </cell>
          <cell r="D625">
            <v>1620</v>
          </cell>
          <cell r="G625">
            <v>1</v>
          </cell>
          <cell r="H625">
            <v>1</v>
          </cell>
          <cell r="L625">
            <v>1</v>
          </cell>
          <cell r="N625">
            <v>1</v>
          </cell>
          <cell r="O625">
            <v>1</v>
          </cell>
          <cell r="S625">
            <v>1</v>
          </cell>
          <cell r="T625">
            <v>1</v>
          </cell>
          <cell r="U625">
            <v>1</v>
          </cell>
          <cell r="V625">
            <v>1</v>
          </cell>
          <cell r="Z625">
            <v>1</v>
          </cell>
          <cell r="AB625">
            <v>1</v>
          </cell>
          <cell r="AC625">
            <v>1</v>
          </cell>
          <cell r="AG625">
            <v>1</v>
          </cell>
          <cell r="AI625">
            <v>1</v>
          </cell>
          <cell r="AJ625">
            <v>1</v>
          </cell>
          <cell r="AN625">
            <v>1</v>
          </cell>
          <cell r="AP625">
            <v>1</v>
          </cell>
          <cell r="AW625">
            <v>1</v>
          </cell>
          <cell r="AY625">
            <v>1</v>
          </cell>
          <cell r="BC625">
            <v>1</v>
          </cell>
          <cell r="BD625">
            <v>6</v>
          </cell>
          <cell r="BE625">
            <v>4</v>
          </cell>
          <cell r="BF625">
            <v>1</v>
          </cell>
          <cell r="BG625">
            <v>0</v>
          </cell>
          <cell r="BH625">
            <v>0</v>
          </cell>
          <cell r="BI625">
            <v>4</v>
          </cell>
        </row>
        <row r="626">
          <cell r="C626" t="str">
            <v>Đỗ Hạnh Nguyên</v>
          </cell>
          <cell r="D626">
            <v>1411</v>
          </cell>
          <cell r="F626">
            <v>1</v>
          </cell>
          <cell r="G626">
            <v>1</v>
          </cell>
          <cell r="H626">
            <v>1</v>
          </cell>
          <cell r="L626">
            <v>1</v>
          </cell>
          <cell r="M626">
            <v>1</v>
          </cell>
          <cell r="N626">
            <v>1</v>
          </cell>
          <cell r="O626">
            <v>1</v>
          </cell>
          <cell r="S626">
            <v>1</v>
          </cell>
          <cell r="U626">
            <v>1</v>
          </cell>
          <cell r="V626">
            <v>1</v>
          </cell>
          <cell r="Z626">
            <v>1</v>
          </cell>
          <cell r="AB626">
            <v>1</v>
          </cell>
          <cell r="AC626">
            <v>1</v>
          </cell>
          <cell r="AG626">
            <v>1</v>
          </cell>
          <cell r="AI626">
            <v>1</v>
          </cell>
          <cell r="AJ626">
            <v>1</v>
          </cell>
          <cell r="AN626">
            <v>1</v>
          </cell>
          <cell r="AP626">
            <v>1</v>
          </cell>
          <cell r="AW626">
            <v>1</v>
          </cell>
          <cell r="AY626">
            <v>1</v>
          </cell>
          <cell r="BC626">
            <v>1</v>
          </cell>
          <cell r="BD626">
            <v>6</v>
          </cell>
          <cell r="BE626">
            <v>4</v>
          </cell>
          <cell r="BF626">
            <v>1</v>
          </cell>
          <cell r="BG626">
            <v>0</v>
          </cell>
          <cell r="BH626">
            <v>0</v>
          </cell>
          <cell r="BI626">
            <v>4</v>
          </cell>
        </row>
        <row r="627">
          <cell r="C627" t="str">
            <v xml:space="preserve">Vũ Thuần </v>
          </cell>
          <cell r="D627">
            <v>1621</v>
          </cell>
          <cell r="E627" t="str">
            <v>Trưởng phòng, BTCB</v>
          </cell>
          <cell r="G627">
            <v>1</v>
          </cell>
          <cell r="H627">
            <v>1</v>
          </cell>
          <cell r="L627">
            <v>1</v>
          </cell>
          <cell r="M627">
            <v>1</v>
          </cell>
          <cell r="N627">
            <v>1</v>
          </cell>
          <cell r="O627">
            <v>1</v>
          </cell>
          <cell r="S627">
            <v>1</v>
          </cell>
          <cell r="U627">
            <v>1</v>
          </cell>
          <cell r="V627">
            <v>1</v>
          </cell>
          <cell r="Z627">
            <v>1</v>
          </cell>
          <cell r="AB627">
            <v>1</v>
          </cell>
          <cell r="AC627">
            <v>1</v>
          </cell>
          <cell r="AG627">
            <v>1</v>
          </cell>
          <cell r="AH627">
            <v>1</v>
          </cell>
          <cell r="AI627">
            <v>1</v>
          </cell>
          <cell r="AJ627">
            <v>1</v>
          </cell>
          <cell r="AN627">
            <v>1</v>
          </cell>
          <cell r="AO627">
            <v>1</v>
          </cell>
          <cell r="AP627">
            <v>1</v>
          </cell>
          <cell r="AQ627">
            <v>1</v>
          </cell>
          <cell r="AU627">
            <v>1</v>
          </cell>
          <cell r="AW627">
            <v>1</v>
          </cell>
          <cell r="AY627">
            <v>1</v>
          </cell>
          <cell r="BB627">
            <v>1</v>
          </cell>
          <cell r="BC627">
            <v>3</v>
          </cell>
          <cell r="BD627">
            <v>6</v>
          </cell>
          <cell r="BE627">
            <v>5</v>
          </cell>
          <cell r="BF627">
            <v>1</v>
          </cell>
          <cell r="BG627">
            <v>0</v>
          </cell>
          <cell r="BH627">
            <v>0</v>
          </cell>
          <cell r="BI627">
            <v>6</v>
          </cell>
        </row>
        <row r="628">
          <cell r="C628" t="str">
            <v>Trương Văn Đạo</v>
          </cell>
          <cell r="D628">
            <v>1622</v>
          </cell>
          <cell r="E628" t="str">
            <v>Phó trưởng phòng</v>
          </cell>
          <cell r="F628">
            <v>1</v>
          </cell>
          <cell r="G628">
            <v>1</v>
          </cell>
          <cell r="H628">
            <v>1</v>
          </cell>
          <cell r="L628">
            <v>1</v>
          </cell>
          <cell r="N628">
            <v>1</v>
          </cell>
          <cell r="O628">
            <v>1</v>
          </cell>
          <cell r="S628">
            <v>1</v>
          </cell>
          <cell r="U628">
            <v>1</v>
          </cell>
          <cell r="V628">
            <v>1</v>
          </cell>
          <cell r="Z628">
            <v>1</v>
          </cell>
          <cell r="AB628">
            <v>1</v>
          </cell>
          <cell r="AC628">
            <v>1</v>
          </cell>
          <cell r="AG628">
            <v>1</v>
          </cell>
          <cell r="AI628">
            <v>1</v>
          </cell>
          <cell r="AK628">
            <v>1</v>
          </cell>
          <cell r="AP628">
            <v>1</v>
          </cell>
          <cell r="AW628">
            <v>1</v>
          </cell>
          <cell r="AY628">
            <v>1</v>
          </cell>
          <cell r="BC628">
            <v>0</v>
          </cell>
          <cell r="BD628">
            <v>6</v>
          </cell>
          <cell r="BE628">
            <v>3</v>
          </cell>
          <cell r="BF628">
            <v>2</v>
          </cell>
          <cell r="BG628">
            <v>0</v>
          </cell>
          <cell r="BH628">
            <v>0</v>
          </cell>
          <cell r="BI628">
            <v>3</v>
          </cell>
        </row>
        <row r="629">
          <cell r="C629" t="str">
            <v>Nguyễn Văn Hài</v>
          </cell>
          <cell r="D629">
            <v>1623</v>
          </cell>
          <cell r="E629" t="str">
            <v>Phó trưởng phòng, PBTCB</v>
          </cell>
          <cell r="G629">
            <v>1</v>
          </cell>
          <cell r="H629">
            <v>1</v>
          </cell>
          <cell r="L629">
            <v>1</v>
          </cell>
          <cell r="N629">
            <v>1</v>
          </cell>
          <cell r="O629">
            <v>1</v>
          </cell>
          <cell r="S629">
            <v>1</v>
          </cell>
          <cell r="U629">
            <v>1</v>
          </cell>
          <cell r="V629">
            <v>1</v>
          </cell>
          <cell r="Z629">
            <v>1</v>
          </cell>
          <cell r="AB629">
            <v>1</v>
          </cell>
          <cell r="AC629">
            <v>1</v>
          </cell>
          <cell r="AG629">
            <v>1</v>
          </cell>
          <cell r="AI629">
            <v>1</v>
          </cell>
          <cell r="AJ629">
            <v>1</v>
          </cell>
          <cell r="AN629">
            <v>1</v>
          </cell>
          <cell r="AP629">
            <v>1</v>
          </cell>
          <cell r="AQ629">
            <v>1</v>
          </cell>
          <cell r="AU629">
            <v>1</v>
          </cell>
          <cell r="AV629">
            <v>1</v>
          </cell>
          <cell r="AW629">
            <v>1</v>
          </cell>
          <cell r="AX629">
            <v>1</v>
          </cell>
          <cell r="BB629">
            <v>1</v>
          </cell>
          <cell r="BC629">
            <v>1</v>
          </cell>
          <cell r="BD629">
            <v>6</v>
          </cell>
          <cell r="BE629">
            <v>6</v>
          </cell>
          <cell r="BF629">
            <v>0</v>
          </cell>
          <cell r="BG629">
            <v>0</v>
          </cell>
          <cell r="BH629">
            <v>0</v>
          </cell>
          <cell r="BI629">
            <v>6</v>
          </cell>
        </row>
        <row r="630">
          <cell r="C630" t="str">
            <v xml:space="preserve">Tạ Quang Nguyên </v>
          </cell>
          <cell r="D630">
            <v>1626</v>
          </cell>
          <cell r="G630">
            <v>1</v>
          </cell>
          <cell r="I630">
            <v>1</v>
          </cell>
          <cell r="N630">
            <v>1</v>
          </cell>
          <cell r="P630">
            <v>1</v>
          </cell>
          <cell r="T630">
            <v>1</v>
          </cell>
          <cell r="U630">
            <v>1</v>
          </cell>
          <cell r="Z630">
            <v>1</v>
          </cell>
          <cell r="AB630">
            <v>1</v>
          </cell>
          <cell r="AD630">
            <v>1</v>
          </cell>
          <cell r="AH630">
            <v>1</v>
          </cell>
          <cell r="AI630">
            <v>1</v>
          </cell>
          <cell r="AJ630">
            <v>1</v>
          </cell>
          <cell r="AN630">
            <v>1</v>
          </cell>
          <cell r="AP630">
            <v>1</v>
          </cell>
          <cell r="AW630">
            <v>1</v>
          </cell>
          <cell r="AY630">
            <v>1</v>
          </cell>
          <cell r="BB630">
            <v>1</v>
          </cell>
          <cell r="BC630">
            <v>2</v>
          </cell>
          <cell r="BD630">
            <v>6</v>
          </cell>
          <cell r="BE630">
            <v>1</v>
          </cell>
          <cell r="BF630">
            <v>3</v>
          </cell>
          <cell r="BG630">
            <v>0</v>
          </cell>
          <cell r="BH630">
            <v>0</v>
          </cell>
          <cell r="BI630">
            <v>3</v>
          </cell>
        </row>
        <row r="631">
          <cell r="C631" t="str">
            <v>Nguyễn Quyết Thắng</v>
          </cell>
          <cell r="D631">
            <v>1627</v>
          </cell>
          <cell r="E631" t="str">
            <v>THNV Tổ trưởng tổ điện nước</v>
          </cell>
          <cell r="G631">
            <v>1</v>
          </cell>
          <cell r="I631">
            <v>1</v>
          </cell>
          <cell r="N631">
            <v>1</v>
          </cell>
          <cell r="P631">
            <v>1</v>
          </cell>
          <cell r="U631">
            <v>1</v>
          </cell>
          <cell r="W631">
            <v>1</v>
          </cell>
          <cell r="AB631">
            <v>1</v>
          </cell>
          <cell r="AD631">
            <v>1</v>
          </cell>
          <cell r="AH631">
            <v>1</v>
          </cell>
          <cell r="AI631">
            <v>1</v>
          </cell>
          <cell r="AJ631">
            <v>1</v>
          </cell>
          <cell r="AN631">
            <v>1</v>
          </cell>
          <cell r="AP631">
            <v>1</v>
          </cell>
          <cell r="AQ631">
            <v>1</v>
          </cell>
          <cell r="AU631">
            <v>1</v>
          </cell>
          <cell r="AW631">
            <v>1</v>
          </cell>
          <cell r="AY631">
            <v>1</v>
          </cell>
          <cell r="BB631">
            <v>1</v>
          </cell>
          <cell r="BC631">
            <v>1</v>
          </cell>
          <cell r="BD631">
            <v>6</v>
          </cell>
          <cell r="BE631">
            <v>2</v>
          </cell>
          <cell r="BF631">
            <v>4</v>
          </cell>
          <cell r="BG631">
            <v>0</v>
          </cell>
          <cell r="BH631">
            <v>0</v>
          </cell>
          <cell r="BI631">
            <v>3</v>
          </cell>
        </row>
        <row r="632">
          <cell r="C632" t="str">
            <v>Lê Văn Sơn</v>
          </cell>
          <cell r="D632">
            <v>1629</v>
          </cell>
          <cell r="G632">
            <v>1</v>
          </cell>
          <cell r="I632">
            <v>1</v>
          </cell>
          <cell r="Q632">
            <v>1</v>
          </cell>
          <cell r="X632">
            <v>1</v>
          </cell>
          <cell r="AB632">
            <v>1</v>
          </cell>
          <cell r="AD632">
            <v>1</v>
          </cell>
          <cell r="AI632">
            <v>1</v>
          </cell>
          <cell r="AK632">
            <v>1</v>
          </cell>
          <cell r="AP632">
            <v>1</v>
          </cell>
          <cell r="AW632">
            <v>1</v>
          </cell>
          <cell r="AY632">
            <v>1</v>
          </cell>
          <cell r="BC632">
            <v>0</v>
          </cell>
          <cell r="BD632">
            <v>4</v>
          </cell>
          <cell r="BE632">
            <v>0</v>
          </cell>
          <cell r="BF632">
            <v>3</v>
          </cell>
          <cell r="BG632">
            <v>2</v>
          </cell>
          <cell r="BH632">
            <v>0</v>
          </cell>
          <cell r="BI632">
            <v>0</v>
          </cell>
        </row>
        <row r="633">
          <cell r="C633" t="str">
            <v>Nguyễn Thị Thắng</v>
          </cell>
          <cell r="D633">
            <v>1630</v>
          </cell>
          <cell r="G633">
            <v>1</v>
          </cell>
          <cell r="I633">
            <v>1</v>
          </cell>
          <cell r="N633">
            <v>1</v>
          </cell>
          <cell r="P633">
            <v>1</v>
          </cell>
          <cell r="W633">
            <v>1</v>
          </cell>
          <cell r="AB633">
            <v>1</v>
          </cell>
          <cell r="AD633">
            <v>1</v>
          </cell>
          <cell r="AK633">
            <v>1</v>
          </cell>
          <cell r="AP633">
            <v>1</v>
          </cell>
          <cell r="AW633">
            <v>1</v>
          </cell>
          <cell r="AY633">
            <v>1</v>
          </cell>
          <cell r="BB633">
            <v>1</v>
          </cell>
          <cell r="BC633">
            <v>0</v>
          </cell>
          <cell r="BD633">
            <v>4</v>
          </cell>
          <cell r="BE633">
            <v>0</v>
          </cell>
          <cell r="BF633">
            <v>5</v>
          </cell>
          <cell r="BG633">
            <v>0</v>
          </cell>
          <cell r="BH633">
            <v>0</v>
          </cell>
          <cell r="BI633">
            <v>1</v>
          </cell>
        </row>
        <row r="634">
          <cell r="C634" t="str">
            <v>Vũ Thị Bích Phương</v>
          </cell>
          <cell r="D634">
            <v>1631</v>
          </cell>
          <cell r="G634">
            <v>1</v>
          </cell>
          <cell r="I634">
            <v>1</v>
          </cell>
          <cell r="N634">
            <v>1</v>
          </cell>
          <cell r="P634">
            <v>1</v>
          </cell>
          <cell r="U634">
            <v>1</v>
          </cell>
          <cell r="W634">
            <v>1</v>
          </cell>
          <cell r="AA634">
            <v>1</v>
          </cell>
          <cell r="AB634">
            <v>1</v>
          </cell>
          <cell r="AC634">
            <v>1</v>
          </cell>
          <cell r="AG634">
            <v>1</v>
          </cell>
          <cell r="AI634">
            <v>1</v>
          </cell>
          <cell r="AJ634">
            <v>1</v>
          </cell>
          <cell r="AN634">
            <v>1</v>
          </cell>
          <cell r="AP634">
            <v>1</v>
          </cell>
          <cell r="AQ634">
            <v>1</v>
          </cell>
          <cell r="AU634">
            <v>1</v>
          </cell>
          <cell r="AW634">
            <v>1</v>
          </cell>
          <cell r="AX634">
            <v>1</v>
          </cell>
          <cell r="BB634">
            <v>1</v>
          </cell>
          <cell r="BC634">
            <v>1</v>
          </cell>
          <cell r="BD634">
            <v>6</v>
          </cell>
          <cell r="BE634">
            <v>4</v>
          </cell>
          <cell r="BF634">
            <v>2</v>
          </cell>
          <cell r="BG634">
            <v>0</v>
          </cell>
          <cell r="BH634">
            <v>0</v>
          </cell>
          <cell r="BI634">
            <v>4</v>
          </cell>
        </row>
        <row r="635">
          <cell r="C635" t="str">
            <v>Trần Hữu Việt</v>
          </cell>
          <cell r="D635">
            <v>1632</v>
          </cell>
          <cell r="E635" t="str">
            <v>BTCĐ</v>
          </cell>
          <cell r="G635">
            <v>1</v>
          </cell>
          <cell r="I635">
            <v>1</v>
          </cell>
          <cell r="M635">
            <v>1</v>
          </cell>
          <cell r="N635">
            <v>1</v>
          </cell>
          <cell r="O635">
            <v>1</v>
          </cell>
          <cell r="S635">
            <v>1</v>
          </cell>
          <cell r="U635">
            <v>1</v>
          </cell>
          <cell r="V635">
            <v>1</v>
          </cell>
          <cell r="Z635">
            <v>1</v>
          </cell>
          <cell r="AB635">
            <v>1</v>
          </cell>
          <cell r="AC635">
            <v>1</v>
          </cell>
          <cell r="AG635">
            <v>1</v>
          </cell>
          <cell r="AI635">
            <v>1</v>
          </cell>
          <cell r="AJ635">
            <v>1</v>
          </cell>
          <cell r="AP635">
            <v>1</v>
          </cell>
          <cell r="AQ635">
            <v>1</v>
          </cell>
          <cell r="AU635">
            <v>1</v>
          </cell>
          <cell r="AW635">
            <v>1</v>
          </cell>
          <cell r="AY635">
            <v>1</v>
          </cell>
          <cell r="BB635">
            <v>1</v>
          </cell>
          <cell r="BC635">
            <v>1</v>
          </cell>
          <cell r="BD635">
            <v>6</v>
          </cell>
          <cell r="BE635">
            <v>5</v>
          </cell>
          <cell r="BF635">
            <v>1</v>
          </cell>
          <cell r="BG635">
            <v>0</v>
          </cell>
          <cell r="BH635">
            <v>0</v>
          </cell>
          <cell r="BI635">
            <v>5</v>
          </cell>
        </row>
        <row r="636">
          <cell r="C636" t="str">
            <v>Phạm Thu Hà</v>
          </cell>
          <cell r="D636">
            <v>1633</v>
          </cell>
          <cell r="AD636">
            <v>1</v>
          </cell>
          <cell r="AI636">
            <v>1</v>
          </cell>
          <cell r="AJ636">
            <v>1</v>
          </cell>
          <cell r="AP636">
            <v>1</v>
          </cell>
          <cell r="AW636">
            <v>1</v>
          </cell>
          <cell r="AY636">
            <v>1</v>
          </cell>
          <cell r="BB636">
            <v>1</v>
          </cell>
          <cell r="BC636">
            <v>0</v>
          </cell>
          <cell r="BD636">
            <v>3</v>
          </cell>
          <cell r="BE636">
            <v>1</v>
          </cell>
          <cell r="BF636">
            <v>2</v>
          </cell>
          <cell r="BG636">
            <v>0</v>
          </cell>
          <cell r="BH636">
            <v>0</v>
          </cell>
          <cell r="BI636">
            <v>1</v>
          </cell>
        </row>
        <row r="637">
          <cell r="C637" t="str">
            <v>Hoàng Sâm</v>
          </cell>
          <cell r="D637">
            <v>1634</v>
          </cell>
          <cell r="AK637">
            <v>1</v>
          </cell>
          <cell r="AP637">
            <v>1</v>
          </cell>
          <cell r="AW637">
            <v>1</v>
          </cell>
          <cell r="AY637">
            <v>1</v>
          </cell>
          <cell r="BC637">
            <v>0</v>
          </cell>
          <cell r="BD637">
            <v>2</v>
          </cell>
          <cell r="BE637">
            <v>0</v>
          </cell>
          <cell r="BF637">
            <v>2</v>
          </cell>
          <cell r="BG637">
            <v>0</v>
          </cell>
          <cell r="BH637">
            <v>0</v>
          </cell>
          <cell r="BI637">
            <v>0</v>
          </cell>
        </row>
        <row r="638">
          <cell r="C638" t="str">
            <v>Vũ Thanh Tứ</v>
          </cell>
          <cell r="D638">
            <v>1635</v>
          </cell>
          <cell r="AK638">
            <v>1</v>
          </cell>
          <cell r="AP638">
            <v>1</v>
          </cell>
          <cell r="AW638">
            <v>1</v>
          </cell>
          <cell r="AY638">
            <v>1</v>
          </cell>
          <cell r="BB638">
            <v>1</v>
          </cell>
          <cell r="BC638">
            <v>0</v>
          </cell>
          <cell r="BD638">
            <v>2</v>
          </cell>
          <cell r="BE638">
            <v>0</v>
          </cell>
          <cell r="BF638">
            <v>2</v>
          </cell>
          <cell r="BG638">
            <v>0</v>
          </cell>
          <cell r="BH638">
            <v>0</v>
          </cell>
          <cell r="BI638">
            <v>1</v>
          </cell>
        </row>
        <row r="639">
          <cell r="C639" t="str">
            <v>Nguyễn Văn Đạt</v>
          </cell>
          <cell r="D639">
            <v>1762</v>
          </cell>
          <cell r="AW639">
            <v>1</v>
          </cell>
          <cell r="AY639">
            <v>1</v>
          </cell>
          <cell r="BC639">
            <v>0</v>
          </cell>
          <cell r="BD639">
            <v>1</v>
          </cell>
          <cell r="BE639">
            <v>0</v>
          </cell>
          <cell r="BF639">
            <v>1</v>
          </cell>
          <cell r="BG639">
            <v>0</v>
          </cell>
          <cell r="BH639">
            <v>0</v>
          </cell>
          <cell r="BI639">
            <v>0</v>
          </cell>
        </row>
        <row r="640">
          <cell r="C640" t="str">
            <v>Nguyễn Đức Hiếu</v>
          </cell>
          <cell r="D640">
            <v>1636</v>
          </cell>
          <cell r="G640">
            <v>1</v>
          </cell>
          <cell r="I640">
            <v>1</v>
          </cell>
          <cell r="M640">
            <v>1</v>
          </cell>
          <cell r="N640">
            <v>1</v>
          </cell>
          <cell r="O640">
            <v>1</v>
          </cell>
          <cell r="S640">
            <v>1</v>
          </cell>
          <cell r="U640">
            <v>1</v>
          </cell>
          <cell r="W640">
            <v>1</v>
          </cell>
          <cell r="AB640">
            <v>1</v>
          </cell>
          <cell r="AD640">
            <v>1</v>
          </cell>
          <cell r="AI640">
            <v>1</v>
          </cell>
          <cell r="AJ640">
            <v>1</v>
          </cell>
          <cell r="AP640">
            <v>1</v>
          </cell>
          <cell r="AQ640">
            <v>1</v>
          </cell>
          <cell r="AU640">
            <v>1</v>
          </cell>
          <cell r="AV640">
            <v>1</v>
          </cell>
          <cell r="AW640">
            <v>1</v>
          </cell>
          <cell r="AX640">
            <v>1</v>
          </cell>
          <cell r="BB640">
            <v>1</v>
          </cell>
          <cell r="BC640">
            <v>2</v>
          </cell>
          <cell r="BD640">
            <v>6</v>
          </cell>
          <cell r="BE640">
            <v>4</v>
          </cell>
          <cell r="BF640">
            <v>2</v>
          </cell>
          <cell r="BG640">
            <v>0</v>
          </cell>
          <cell r="BH640">
            <v>0</v>
          </cell>
          <cell r="BI640">
            <v>3</v>
          </cell>
        </row>
        <row r="641">
          <cell r="C641" t="str">
            <v>Phạm Xuân Thủy</v>
          </cell>
          <cell r="D641">
            <v>1637</v>
          </cell>
          <cell r="E641" t="str">
            <v xml:space="preserve">Tổ trưởng tổ QLHTLH </v>
          </cell>
          <cell r="G641">
            <v>1</v>
          </cell>
          <cell r="I641">
            <v>1</v>
          </cell>
          <cell r="N641">
            <v>1</v>
          </cell>
          <cell r="P641">
            <v>1</v>
          </cell>
          <cell r="U641">
            <v>1</v>
          </cell>
          <cell r="W641">
            <v>1</v>
          </cell>
          <cell r="AB641">
            <v>1</v>
          </cell>
          <cell r="AD641">
            <v>1</v>
          </cell>
          <cell r="AH641">
            <v>1</v>
          </cell>
          <cell r="AI641">
            <v>1</v>
          </cell>
          <cell r="AJ641">
            <v>1</v>
          </cell>
          <cell r="AN641">
            <v>1</v>
          </cell>
          <cell r="AP641">
            <v>1</v>
          </cell>
          <cell r="AW641">
            <v>1</v>
          </cell>
          <cell r="AY641">
            <v>1</v>
          </cell>
          <cell r="BB641">
            <v>1</v>
          </cell>
          <cell r="BC641">
            <v>1</v>
          </cell>
          <cell r="BD641">
            <v>6</v>
          </cell>
          <cell r="BE641">
            <v>1</v>
          </cell>
          <cell r="BF641">
            <v>4</v>
          </cell>
          <cell r="BG641">
            <v>0</v>
          </cell>
          <cell r="BH641">
            <v>0</v>
          </cell>
          <cell r="BI641">
            <v>2</v>
          </cell>
        </row>
        <row r="642">
          <cell r="C642" t="str">
            <v>Nguyễn Quốc Huy</v>
          </cell>
          <cell r="D642">
            <v>1638</v>
          </cell>
          <cell r="G642">
            <v>1</v>
          </cell>
          <cell r="I642">
            <v>1</v>
          </cell>
          <cell r="N642">
            <v>1</v>
          </cell>
          <cell r="P642">
            <v>1</v>
          </cell>
          <cell r="U642">
            <v>1</v>
          </cell>
          <cell r="W642">
            <v>1</v>
          </cell>
          <cell r="AB642">
            <v>1</v>
          </cell>
          <cell r="AC642">
            <v>1</v>
          </cell>
          <cell r="AG642">
            <v>1</v>
          </cell>
          <cell r="AI642">
            <v>1</v>
          </cell>
          <cell r="AJ642">
            <v>1</v>
          </cell>
          <cell r="AO642">
            <v>1</v>
          </cell>
          <cell r="AP642">
            <v>1</v>
          </cell>
          <cell r="AQ642">
            <v>1</v>
          </cell>
          <cell r="AU642">
            <v>1</v>
          </cell>
          <cell r="AW642">
            <v>1</v>
          </cell>
          <cell r="AY642">
            <v>1</v>
          </cell>
          <cell r="BB642">
            <v>1</v>
          </cell>
          <cell r="BC642">
            <v>1</v>
          </cell>
          <cell r="BD642">
            <v>6</v>
          </cell>
          <cell r="BE642">
            <v>3</v>
          </cell>
          <cell r="BF642">
            <v>3</v>
          </cell>
          <cell r="BG642">
            <v>0</v>
          </cell>
          <cell r="BH642">
            <v>0</v>
          </cell>
          <cell r="BI642">
            <v>3</v>
          </cell>
        </row>
        <row r="643">
          <cell r="C643" t="str">
            <v>Nguyễn Văn Tuân</v>
          </cell>
          <cell r="D643">
            <v>1639</v>
          </cell>
          <cell r="G643">
            <v>1</v>
          </cell>
          <cell r="I643">
            <v>1</v>
          </cell>
          <cell r="N643">
            <v>1</v>
          </cell>
          <cell r="P643">
            <v>1</v>
          </cell>
          <cell r="U643">
            <v>1</v>
          </cell>
          <cell r="W643">
            <v>1</v>
          </cell>
          <cell r="AA643">
            <v>1</v>
          </cell>
          <cell r="AB643">
            <v>1</v>
          </cell>
          <cell r="AC643">
            <v>1</v>
          </cell>
          <cell r="AG643">
            <v>1</v>
          </cell>
          <cell r="AI643">
            <v>1</v>
          </cell>
          <cell r="AJ643">
            <v>1</v>
          </cell>
          <cell r="AP643">
            <v>1</v>
          </cell>
          <cell r="AQ643">
            <v>1</v>
          </cell>
          <cell r="AU643">
            <v>1</v>
          </cell>
          <cell r="AV643">
            <v>1</v>
          </cell>
          <cell r="AW643">
            <v>1</v>
          </cell>
          <cell r="AY643">
            <v>1</v>
          </cell>
          <cell r="BB643">
            <v>1</v>
          </cell>
          <cell r="BC643">
            <v>2</v>
          </cell>
          <cell r="BD643">
            <v>6</v>
          </cell>
          <cell r="BE643">
            <v>3</v>
          </cell>
          <cell r="BF643">
            <v>3</v>
          </cell>
          <cell r="BG643">
            <v>0</v>
          </cell>
          <cell r="BH643">
            <v>0</v>
          </cell>
          <cell r="BI643">
            <v>3</v>
          </cell>
        </row>
        <row r="644">
          <cell r="C644" t="str">
            <v>Nguyễn Hồng Dương</v>
          </cell>
          <cell r="D644">
            <v>1641</v>
          </cell>
          <cell r="G644">
            <v>1</v>
          </cell>
          <cell r="I644">
            <v>1</v>
          </cell>
          <cell r="N644">
            <v>1</v>
          </cell>
          <cell r="P644">
            <v>1</v>
          </cell>
          <cell r="U644">
            <v>1</v>
          </cell>
          <cell r="W644">
            <v>1</v>
          </cell>
          <cell r="AB644">
            <v>1</v>
          </cell>
          <cell r="AD644">
            <v>1</v>
          </cell>
          <cell r="AI644">
            <v>1</v>
          </cell>
          <cell r="AJ644">
            <v>1</v>
          </cell>
          <cell r="AP644">
            <v>1</v>
          </cell>
          <cell r="AW644">
            <v>1</v>
          </cell>
          <cell r="AY644">
            <v>1</v>
          </cell>
          <cell r="BC644">
            <v>0</v>
          </cell>
          <cell r="BD644">
            <v>6</v>
          </cell>
          <cell r="BE644">
            <v>1</v>
          </cell>
          <cell r="BF644">
            <v>4</v>
          </cell>
          <cell r="BG644">
            <v>0</v>
          </cell>
          <cell r="BH644">
            <v>0</v>
          </cell>
          <cell r="BI644">
            <v>0</v>
          </cell>
        </row>
        <row r="645">
          <cell r="C645" t="str">
            <v>Lưu Văn Quyền</v>
          </cell>
          <cell r="D645">
            <v>1642</v>
          </cell>
          <cell r="E645" t="str">
            <v>CUV, CTCĐ</v>
          </cell>
          <cell r="G645">
            <v>1</v>
          </cell>
          <cell r="I645">
            <v>1</v>
          </cell>
          <cell r="N645">
            <v>1</v>
          </cell>
          <cell r="P645">
            <v>1</v>
          </cell>
          <cell r="U645">
            <v>1</v>
          </cell>
          <cell r="W645">
            <v>1</v>
          </cell>
          <cell r="AB645">
            <v>1</v>
          </cell>
          <cell r="AC645">
            <v>1</v>
          </cell>
          <cell r="AG645">
            <v>1</v>
          </cell>
          <cell r="AI645">
            <v>1</v>
          </cell>
          <cell r="AJ645">
            <v>1</v>
          </cell>
          <cell r="AP645">
            <v>1</v>
          </cell>
          <cell r="AQ645">
            <v>1</v>
          </cell>
          <cell r="AU645">
            <v>1</v>
          </cell>
          <cell r="AV645">
            <v>1</v>
          </cell>
          <cell r="AW645">
            <v>1</v>
          </cell>
          <cell r="AX645">
            <v>1</v>
          </cell>
          <cell r="BB645">
            <v>1</v>
          </cell>
          <cell r="BC645">
            <v>1</v>
          </cell>
          <cell r="BD645">
            <v>6</v>
          </cell>
          <cell r="BE645">
            <v>4</v>
          </cell>
          <cell r="BF645">
            <v>2</v>
          </cell>
          <cell r="BG645">
            <v>0</v>
          </cell>
          <cell r="BH645">
            <v>0</v>
          </cell>
          <cell r="BI645">
            <v>3</v>
          </cell>
        </row>
        <row r="646">
          <cell r="C646" t="str">
            <v>Trần Thị Thúy Nga</v>
          </cell>
          <cell r="D646">
            <v>1643</v>
          </cell>
          <cell r="G646">
            <v>1</v>
          </cell>
          <cell r="I646">
            <v>1</v>
          </cell>
          <cell r="N646">
            <v>1</v>
          </cell>
          <cell r="P646">
            <v>1</v>
          </cell>
          <cell r="U646">
            <v>1</v>
          </cell>
          <cell r="W646">
            <v>1</v>
          </cell>
          <cell r="AB646">
            <v>1</v>
          </cell>
          <cell r="AD646">
            <v>1</v>
          </cell>
          <cell r="AI646">
            <v>1</v>
          </cell>
          <cell r="AJ646">
            <v>1</v>
          </cell>
          <cell r="AO646">
            <v>1</v>
          </cell>
          <cell r="AP646">
            <v>1</v>
          </cell>
          <cell r="AQ646">
            <v>1</v>
          </cell>
          <cell r="AU646">
            <v>1</v>
          </cell>
          <cell r="AW646">
            <v>1</v>
          </cell>
          <cell r="AY646">
            <v>1</v>
          </cell>
          <cell r="BB646">
            <v>1</v>
          </cell>
          <cell r="BC646">
            <v>1</v>
          </cell>
          <cell r="BD646">
            <v>6</v>
          </cell>
          <cell r="BE646">
            <v>2</v>
          </cell>
          <cell r="BF646">
            <v>4</v>
          </cell>
          <cell r="BG646">
            <v>0</v>
          </cell>
          <cell r="BH646">
            <v>0</v>
          </cell>
          <cell r="BI646">
            <v>2</v>
          </cell>
        </row>
        <row r="647">
          <cell r="C647" t="str">
            <v>Nguyễn Trường Sơn</v>
          </cell>
          <cell r="D647">
            <v>1644</v>
          </cell>
          <cell r="G647">
            <v>1</v>
          </cell>
          <cell r="I647">
            <v>1</v>
          </cell>
          <cell r="N647">
            <v>1</v>
          </cell>
          <cell r="P647">
            <v>1</v>
          </cell>
          <cell r="U647">
            <v>1</v>
          </cell>
          <cell r="W647">
            <v>1</v>
          </cell>
          <cell r="AA647">
            <v>1</v>
          </cell>
          <cell r="AB647">
            <v>1</v>
          </cell>
          <cell r="AC647">
            <v>1</v>
          </cell>
          <cell r="AG647">
            <v>1</v>
          </cell>
          <cell r="AI647">
            <v>1</v>
          </cell>
          <cell r="AJ647">
            <v>1</v>
          </cell>
          <cell r="AP647">
            <v>1</v>
          </cell>
          <cell r="AV647">
            <v>1</v>
          </cell>
          <cell r="AW647">
            <v>1</v>
          </cell>
          <cell r="AY647">
            <v>1</v>
          </cell>
          <cell r="BB647">
            <v>1</v>
          </cell>
          <cell r="BC647">
            <v>2</v>
          </cell>
          <cell r="BD647">
            <v>6</v>
          </cell>
          <cell r="BE647">
            <v>2</v>
          </cell>
          <cell r="BF647">
            <v>3</v>
          </cell>
          <cell r="BG647">
            <v>0</v>
          </cell>
          <cell r="BH647">
            <v>0</v>
          </cell>
          <cell r="BI647">
            <v>2</v>
          </cell>
        </row>
        <row r="648">
          <cell r="C648" t="str">
            <v>Lê Việt Cường</v>
          </cell>
          <cell r="D648">
            <v>1646</v>
          </cell>
          <cell r="G648">
            <v>1</v>
          </cell>
          <cell r="I648">
            <v>1</v>
          </cell>
          <cell r="Q648">
            <v>1</v>
          </cell>
          <cell r="U648">
            <v>1</v>
          </cell>
          <cell r="W648">
            <v>1</v>
          </cell>
          <cell r="AB648">
            <v>1</v>
          </cell>
          <cell r="AD648">
            <v>1</v>
          </cell>
          <cell r="AI648">
            <v>1</v>
          </cell>
          <cell r="AJ648">
            <v>1</v>
          </cell>
          <cell r="AO648">
            <v>1</v>
          </cell>
          <cell r="AP648">
            <v>1</v>
          </cell>
          <cell r="AQ648">
            <v>1</v>
          </cell>
          <cell r="AU648">
            <v>1</v>
          </cell>
          <cell r="AW648">
            <v>1</v>
          </cell>
          <cell r="AY648">
            <v>1</v>
          </cell>
          <cell r="BC648">
            <v>1</v>
          </cell>
          <cell r="BD648">
            <v>5</v>
          </cell>
          <cell r="BE648">
            <v>2</v>
          </cell>
          <cell r="BF648">
            <v>3</v>
          </cell>
          <cell r="BG648">
            <v>1</v>
          </cell>
          <cell r="BH648">
            <v>0</v>
          </cell>
          <cell r="BI648">
            <v>1</v>
          </cell>
        </row>
        <row r="649">
          <cell r="C649" t="str">
            <v>Hoàng Xuân Phong</v>
          </cell>
          <cell r="D649">
            <v>1647</v>
          </cell>
          <cell r="G649">
            <v>1</v>
          </cell>
          <cell r="I649">
            <v>1</v>
          </cell>
          <cell r="N649">
            <v>1</v>
          </cell>
          <cell r="P649">
            <v>1</v>
          </cell>
          <cell r="U649">
            <v>1</v>
          </cell>
          <cell r="W649">
            <v>1</v>
          </cell>
          <cell r="AB649">
            <v>1</v>
          </cell>
          <cell r="AC649">
            <v>1</v>
          </cell>
          <cell r="AG649">
            <v>1</v>
          </cell>
          <cell r="AI649">
            <v>1</v>
          </cell>
          <cell r="AJ649">
            <v>1</v>
          </cell>
          <cell r="AO649">
            <v>1</v>
          </cell>
          <cell r="AP649">
            <v>1</v>
          </cell>
          <cell r="AQ649">
            <v>1</v>
          </cell>
          <cell r="AU649">
            <v>1</v>
          </cell>
          <cell r="AW649">
            <v>1</v>
          </cell>
          <cell r="AY649">
            <v>1</v>
          </cell>
          <cell r="BC649">
            <v>1</v>
          </cell>
          <cell r="BD649">
            <v>6</v>
          </cell>
          <cell r="BE649">
            <v>3</v>
          </cell>
          <cell r="BF649">
            <v>3</v>
          </cell>
          <cell r="BG649">
            <v>0</v>
          </cell>
          <cell r="BH649">
            <v>0</v>
          </cell>
          <cell r="BI649">
            <v>2</v>
          </cell>
        </row>
        <row r="650">
          <cell r="C650" t="str">
            <v>Nguyễn Thị Thu Hường</v>
          </cell>
          <cell r="D650">
            <v>1648</v>
          </cell>
          <cell r="G650">
            <v>1</v>
          </cell>
          <cell r="I650">
            <v>1</v>
          </cell>
          <cell r="N650">
            <v>1</v>
          </cell>
          <cell r="P650">
            <v>1</v>
          </cell>
          <cell r="U650">
            <v>1</v>
          </cell>
          <cell r="W650">
            <v>1</v>
          </cell>
          <cell r="AA650">
            <v>1</v>
          </cell>
          <cell r="AB650">
            <v>1</v>
          </cell>
          <cell r="AC650">
            <v>1</v>
          </cell>
          <cell r="AG650">
            <v>1</v>
          </cell>
          <cell r="AI650">
            <v>1</v>
          </cell>
          <cell r="AJ650">
            <v>1</v>
          </cell>
          <cell r="AP650">
            <v>1</v>
          </cell>
          <cell r="AQ650">
            <v>1</v>
          </cell>
          <cell r="AU650">
            <v>1</v>
          </cell>
          <cell r="AW650">
            <v>1</v>
          </cell>
          <cell r="AY650">
            <v>1</v>
          </cell>
          <cell r="BC650">
            <v>1</v>
          </cell>
          <cell r="BD650">
            <v>6</v>
          </cell>
          <cell r="BE650">
            <v>3</v>
          </cell>
          <cell r="BF650">
            <v>3</v>
          </cell>
          <cell r="BG650">
            <v>0</v>
          </cell>
          <cell r="BH650">
            <v>0</v>
          </cell>
          <cell r="BI650">
            <v>2</v>
          </cell>
        </row>
        <row r="651">
          <cell r="C651" t="str">
            <v>Phạm Thị Thu Hà</v>
          </cell>
          <cell r="D651">
            <v>1649</v>
          </cell>
          <cell r="G651">
            <v>1</v>
          </cell>
          <cell r="I651">
            <v>1</v>
          </cell>
          <cell r="N651">
            <v>1</v>
          </cell>
          <cell r="P651">
            <v>1</v>
          </cell>
          <cell r="U651">
            <v>1</v>
          </cell>
          <cell r="W651">
            <v>1</v>
          </cell>
          <cell r="AB651">
            <v>1</v>
          </cell>
          <cell r="AD651">
            <v>1</v>
          </cell>
          <cell r="AI651">
            <v>1</v>
          </cell>
          <cell r="AJ651">
            <v>1</v>
          </cell>
          <cell r="AP651">
            <v>1</v>
          </cell>
          <cell r="AW651">
            <v>1</v>
          </cell>
          <cell r="AY651">
            <v>1</v>
          </cell>
          <cell r="BC651">
            <v>0</v>
          </cell>
          <cell r="BD651">
            <v>6</v>
          </cell>
          <cell r="BE651">
            <v>1</v>
          </cell>
          <cell r="BF651">
            <v>4</v>
          </cell>
          <cell r="BG651">
            <v>0</v>
          </cell>
          <cell r="BH651">
            <v>0</v>
          </cell>
          <cell r="BI651">
            <v>0</v>
          </cell>
        </row>
        <row r="652">
          <cell r="C652" t="str">
            <v>Đỗ Thị Minh Quế</v>
          </cell>
          <cell r="D652">
            <v>1650</v>
          </cell>
          <cell r="G652">
            <v>1</v>
          </cell>
          <cell r="I652">
            <v>1</v>
          </cell>
          <cell r="N652">
            <v>1</v>
          </cell>
          <cell r="P652">
            <v>1</v>
          </cell>
          <cell r="T652">
            <v>1</v>
          </cell>
          <cell r="U652">
            <v>1</v>
          </cell>
          <cell r="V652">
            <v>1</v>
          </cell>
          <cell r="Z652">
            <v>1</v>
          </cell>
          <cell r="AB652">
            <v>1</v>
          </cell>
          <cell r="AD652">
            <v>1</v>
          </cell>
          <cell r="AI652">
            <v>1</v>
          </cell>
          <cell r="AK652">
            <v>1</v>
          </cell>
          <cell r="AP652">
            <v>1</v>
          </cell>
          <cell r="AW652">
            <v>1</v>
          </cell>
          <cell r="AX652">
            <v>1</v>
          </cell>
          <cell r="BB652">
            <v>1</v>
          </cell>
          <cell r="BC652">
            <v>1</v>
          </cell>
          <cell r="BD652">
            <v>6</v>
          </cell>
          <cell r="BE652">
            <v>2</v>
          </cell>
          <cell r="BF652">
            <v>3</v>
          </cell>
          <cell r="BG652">
            <v>0</v>
          </cell>
          <cell r="BH652">
            <v>0</v>
          </cell>
          <cell r="BI652">
            <v>2</v>
          </cell>
        </row>
        <row r="653">
          <cell r="C653" t="str">
            <v>Trần Thị Thu</v>
          </cell>
          <cell r="D653">
            <v>1651</v>
          </cell>
          <cell r="G653">
            <v>1</v>
          </cell>
          <cell r="I653">
            <v>1</v>
          </cell>
          <cell r="N653">
            <v>1</v>
          </cell>
          <cell r="P653">
            <v>1</v>
          </cell>
          <cell r="U653">
            <v>1</v>
          </cell>
          <cell r="W653">
            <v>1</v>
          </cell>
          <cell r="AB653">
            <v>1</v>
          </cell>
          <cell r="AD653">
            <v>1</v>
          </cell>
          <cell r="AI653">
            <v>1</v>
          </cell>
          <cell r="AJ653">
            <v>1</v>
          </cell>
          <cell r="AP653">
            <v>1</v>
          </cell>
          <cell r="AQ653">
            <v>1</v>
          </cell>
          <cell r="AU653">
            <v>1</v>
          </cell>
          <cell r="AV653">
            <v>1</v>
          </cell>
          <cell r="AW653">
            <v>1</v>
          </cell>
          <cell r="AY653">
            <v>1</v>
          </cell>
          <cell r="BB653">
            <v>1</v>
          </cell>
          <cell r="BC653">
            <v>1</v>
          </cell>
          <cell r="BD653">
            <v>6</v>
          </cell>
          <cell r="BE653">
            <v>2</v>
          </cell>
          <cell r="BF653">
            <v>4</v>
          </cell>
          <cell r="BG653">
            <v>0</v>
          </cell>
          <cell r="BH653">
            <v>0</v>
          </cell>
          <cell r="BI653">
            <v>2</v>
          </cell>
        </row>
        <row r="654">
          <cell r="C654" t="str">
            <v>Đinh Thế Anh</v>
          </cell>
          <cell r="D654">
            <v>1652</v>
          </cell>
          <cell r="G654">
            <v>1</v>
          </cell>
          <cell r="I654">
            <v>1</v>
          </cell>
          <cell r="N654">
            <v>1</v>
          </cell>
          <cell r="P654">
            <v>1</v>
          </cell>
          <cell r="U654">
            <v>1</v>
          </cell>
          <cell r="W654">
            <v>1</v>
          </cell>
          <cell r="AB654">
            <v>1</v>
          </cell>
          <cell r="AD654">
            <v>1</v>
          </cell>
          <cell r="AI654">
            <v>1</v>
          </cell>
          <cell r="AK654">
            <v>1</v>
          </cell>
          <cell r="AP654">
            <v>1</v>
          </cell>
          <cell r="AW654">
            <v>1</v>
          </cell>
          <cell r="AY654">
            <v>1</v>
          </cell>
          <cell r="BC654">
            <v>0</v>
          </cell>
          <cell r="BD654">
            <v>6</v>
          </cell>
          <cell r="BE654">
            <v>0</v>
          </cell>
          <cell r="BF654">
            <v>5</v>
          </cell>
          <cell r="BG654">
            <v>0</v>
          </cell>
          <cell r="BH654">
            <v>0</v>
          </cell>
          <cell r="BI654">
            <v>0</v>
          </cell>
        </row>
        <row r="655">
          <cell r="C655" t="str">
            <v>Trương Ngọc Tú</v>
          </cell>
          <cell r="D655">
            <v>1653</v>
          </cell>
          <cell r="G655">
            <v>1</v>
          </cell>
          <cell r="I655">
            <v>1</v>
          </cell>
          <cell r="N655">
            <v>1</v>
          </cell>
          <cell r="P655">
            <v>1</v>
          </cell>
          <cell r="U655">
            <v>1</v>
          </cell>
          <cell r="V655">
            <v>1</v>
          </cell>
          <cell r="Z655">
            <v>1</v>
          </cell>
          <cell r="AB655">
            <v>1</v>
          </cell>
          <cell r="AD655">
            <v>1</v>
          </cell>
          <cell r="AG655">
            <v>1</v>
          </cell>
          <cell r="AI655">
            <v>1</v>
          </cell>
          <cell r="AJ655">
            <v>1</v>
          </cell>
          <cell r="AP655">
            <v>1</v>
          </cell>
          <cell r="AQ655">
            <v>1</v>
          </cell>
          <cell r="AU655">
            <v>1</v>
          </cell>
          <cell r="AW655">
            <v>1</v>
          </cell>
          <cell r="AY655">
            <v>1</v>
          </cell>
          <cell r="BC655">
            <v>0</v>
          </cell>
          <cell r="BD655">
            <v>6</v>
          </cell>
          <cell r="BE655">
            <v>3</v>
          </cell>
          <cell r="BF655">
            <v>3</v>
          </cell>
          <cell r="BG655">
            <v>0</v>
          </cell>
          <cell r="BH655">
            <v>0</v>
          </cell>
          <cell r="BI655">
            <v>3</v>
          </cell>
        </row>
        <row r="656">
          <cell r="C656" t="str">
            <v>Đinh Văn Duy</v>
          </cell>
          <cell r="D656">
            <v>1654</v>
          </cell>
          <cell r="AD656">
            <v>1</v>
          </cell>
          <cell r="AK656">
            <v>1</v>
          </cell>
          <cell r="AP656">
            <v>1</v>
          </cell>
          <cell r="AW656">
            <v>1</v>
          </cell>
          <cell r="AY656">
            <v>1</v>
          </cell>
          <cell r="BC656">
            <v>0</v>
          </cell>
          <cell r="BD656">
            <v>2</v>
          </cell>
          <cell r="BE656">
            <v>0</v>
          </cell>
          <cell r="BF656">
            <v>3</v>
          </cell>
          <cell r="BG656">
            <v>0</v>
          </cell>
          <cell r="BH656">
            <v>0</v>
          </cell>
          <cell r="BI656">
            <v>0</v>
          </cell>
        </row>
        <row r="657">
          <cell r="C657" t="str">
            <v>Phạm Văn Huệ</v>
          </cell>
          <cell r="D657">
            <v>1656</v>
          </cell>
          <cell r="AD657">
            <v>1</v>
          </cell>
          <cell r="AK657">
            <v>1</v>
          </cell>
          <cell r="AP657">
            <v>1</v>
          </cell>
          <cell r="AW657">
            <v>1</v>
          </cell>
          <cell r="AY657">
            <v>1</v>
          </cell>
          <cell r="BC657">
            <v>0</v>
          </cell>
          <cell r="BD657">
            <v>2</v>
          </cell>
          <cell r="BE657">
            <v>0</v>
          </cell>
          <cell r="BF657">
            <v>3</v>
          </cell>
          <cell r="BG657">
            <v>0</v>
          </cell>
          <cell r="BH657">
            <v>0</v>
          </cell>
          <cell r="BI657">
            <v>0</v>
          </cell>
        </row>
        <row r="658">
          <cell r="C658" t="str">
            <v>Tô Trọng Cầu</v>
          </cell>
          <cell r="D658">
            <v>1657</v>
          </cell>
          <cell r="AD658">
            <v>1</v>
          </cell>
          <cell r="AK658">
            <v>1</v>
          </cell>
          <cell r="AP658">
            <v>1</v>
          </cell>
          <cell r="AW658">
            <v>1</v>
          </cell>
          <cell r="AY658">
            <v>1</v>
          </cell>
          <cell r="BC658">
            <v>0</v>
          </cell>
          <cell r="BD658">
            <v>2</v>
          </cell>
          <cell r="BE658">
            <v>0</v>
          </cell>
          <cell r="BF658">
            <v>3</v>
          </cell>
          <cell r="BG658">
            <v>0</v>
          </cell>
          <cell r="BH658">
            <v>0</v>
          </cell>
          <cell r="BI658">
            <v>0</v>
          </cell>
        </row>
        <row r="659">
          <cell r="C659" t="str">
            <v>Phùng Mạnh Quân</v>
          </cell>
          <cell r="D659">
            <v>1658</v>
          </cell>
          <cell r="AD659">
            <v>1</v>
          </cell>
          <cell r="AK659">
            <v>1</v>
          </cell>
          <cell r="AW659">
            <v>1</v>
          </cell>
          <cell r="AY659">
            <v>1</v>
          </cell>
          <cell r="BB659">
            <v>1</v>
          </cell>
          <cell r="BC659">
            <v>0</v>
          </cell>
          <cell r="BD659">
            <v>1</v>
          </cell>
          <cell r="BE659">
            <v>0</v>
          </cell>
          <cell r="BF659">
            <v>3</v>
          </cell>
          <cell r="BG659">
            <v>0</v>
          </cell>
          <cell r="BH659">
            <v>0</v>
          </cell>
          <cell r="BI659">
            <v>1</v>
          </cell>
        </row>
        <row r="660">
          <cell r="C660" t="str">
            <v>Nguyễn Như Định</v>
          </cell>
          <cell r="D660">
            <v>1659</v>
          </cell>
          <cell r="AD660">
            <v>1</v>
          </cell>
          <cell r="AK660">
            <v>1</v>
          </cell>
          <cell r="AW660">
            <v>1</v>
          </cell>
          <cell r="AY660">
            <v>1</v>
          </cell>
          <cell r="BC660">
            <v>0</v>
          </cell>
          <cell r="BD660">
            <v>1</v>
          </cell>
          <cell r="BE660">
            <v>0</v>
          </cell>
          <cell r="BF660">
            <v>3</v>
          </cell>
          <cell r="BG660">
            <v>0</v>
          </cell>
          <cell r="BH660">
            <v>0</v>
          </cell>
          <cell r="BI660">
            <v>0</v>
          </cell>
        </row>
        <row r="661">
          <cell r="C661" t="str">
            <v>Nguyễn Ngọc Thành</v>
          </cell>
          <cell r="D661">
            <v>1662</v>
          </cell>
          <cell r="AD661">
            <v>1</v>
          </cell>
          <cell r="AK661">
            <v>1</v>
          </cell>
          <cell r="AP661">
            <v>1</v>
          </cell>
          <cell r="AW661">
            <v>1</v>
          </cell>
          <cell r="AY661">
            <v>1</v>
          </cell>
          <cell r="BC661">
            <v>0</v>
          </cell>
          <cell r="BD661">
            <v>2</v>
          </cell>
          <cell r="BE661">
            <v>0</v>
          </cell>
          <cell r="BF661">
            <v>3</v>
          </cell>
          <cell r="BG661">
            <v>0</v>
          </cell>
          <cell r="BH661">
            <v>0</v>
          </cell>
          <cell r="BI661">
            <v>0</v>
          </cell>
        </row>
        <row r="662">
          <cell r="C662" t="str">
            <v>Nguyễn Đức Toàn</v>
          </cell>
          <cell r="D662">
            <v>1663</v>
          </cell>
          <cell r="AD662">
            <v>1</v>
          </cell>
          <cell r="AL662">
            <v>1</v>
          </cell>
          <cell r="AP662">
            <v>1</v>
          </cell>
          <cell r="AW662">
            <v>1</v>
          </cell>
          <cell r="AY662">
            <v>1</v>
          </cell>
          <cell r="BC662">
            <v>0</v>
          </cell>
          <cell r="BD662">
            <v>2</v>
          </cell>
          <cell r="BE662">
            <v>0</v>
          </cell>
          <cell r="BF662">
            <v>2</v>
          </cell>
          <cell r="BG662">
            <v>1</v>
          </cell>
          <cell r="BH662">
            <v>0</v>
          </cell>
          <cell r="BI662">
            <v>0</v>
          </cell>
        </row>
        <row r="663">
          <cell r="C663" t="str">
            <v>Nguyễn Bá Lợi</v>
          </cell>
          <cell r="D663">
            <v>1664</v>
          </cell>
          <cell r="AD663">
            <v>1</v>
          </cell>
          <cell r="AK663">
            <v>1</v>
          </cell>
          <cell r="AP663">
            <v>1</v>
          </cell>
          <cell r="AW663">
            <v>1</v>
          </cell>
          <cell r="AY663">
            <v>1</v>
          </cell>
          <cell r="BC663">
            <v>0</v>
          </cell>
          <cell r="BD663">
            <v>2</v>
          </cell>
          <cell r="BE663">
            <v>0</v>
          </cell>
          <cell r="BF663">
            <v>3</v>
          </cell>
          <cell r="BG663">
            <v>0</v>
          </cell>
          <cell r="BH663">
            <v>0</v>
          </cell>
          <cell r="BI663">
            <v>0</v>
          </cell>
        </row>
        <row r="664">
          <cell r="C664" t="str">
            <v>Tạ Thị Lương</v>
          </cell>
          <cell r="D664">
            <v>1665</v>
          </cell>
          <cell r="AD664">
            <v>1</v>
          </cell>
          <cell r="AK664">
            <v>1</v>
          </cell>
          <cell r="AP664">
            <v>1</v>
          </cell>
          <cell r="AW664">
            <v>1</v>
          </cell>
          <cell r="AY664">
            <v>1</v>
          </cell>
          <cell r="BC664">
            <v>0</v>
          </cell>
          <cell r="BD664">
            <v>2</v>
          </cell>
          <cell r="BE664">
            <v>0</v>
          </cell>
          <cell r="BF664">
            <v>3</v>
          </cell>
          <cell r="BG664">
            <v>0</v>
          </cell>
          <cell r="BH664">
            <v>0</v>
          </cell>
          <cell r="BI664">
            <v>0</v>
          </cell>
        </row>
        <row r="665">
          <cell r="C665" t="str">
            <v>Phan Minh Hường</v>
          </cell>
          <cell r="D665">
            <v>1666</v>
          </cell>
          <cell r="AD665">
            <v>1</v>
          </cell>
          <cell r="AK665">
            <v>1</v>
          </cell>
          <cell r="AW665">
            <v>1</v>
          </cell>
          <cell r="AY665">
            <v>1</v>
          </cell>
          <cell r="BC665">
            <v>0</v>
          </cell>
          <cell r="BD665">
            <v>1</v>
          </cell>
          <cell r="BE665">
            <v>0</v>
          </cell>
          <cell r="BF665">
            <v>3</v>
          </cell>
          <cell r="BG665">
            <v>0</v>
          </cell>
          <cell r="BH665">
            <v>0</v>
          </cell>
          <cell r="BI665">
            <v>0</v>
          </cell>
        </row>
        <row r="666">
          <cell r="C666" t="str">
            <v>Đinh Văn Sơn</v>
          </cell>
          <cell r="D666">
            <v>1667</v>
          </cell>
          <cell r="E666" t="str">
            <v>Tổng biên tập</v>
          </cell>
          <cell r="F666">
            <v>1</v>
          </cell>
          <cell r="G666">
            <v>1</v>
          </cell>
          <cell r="H666">
            <v>1</v>
          </cell>
          <cell r="L666">
            <v>1</v>
          </cell>
          <cell r="M666">
            <v>1</v>
          </cell>
          <cell r="N666">
            <v>1</v>
          </cell>
          <cell r="O666">
            <v>1</v>
          </cell>
          <cell r="S666">
            <v>1</v>
          </cell>
          <cell r="T666">
            <v>1</v>
          </cell>
          <cell r="U666">
            <v>1</v>
          </cell>
          <cell r="V666">
            <v>1</v>
          </cell>
          <cell r="Z666">
            <v>1</v>
          </cell>
          <cell r="AB666">
            <v>1</v>
          </cell>
          <cell r="AC666">
            <v>1</v>
          </cell>
          <cell r="AG666">
            <v>1</v>
          </cell>
          <cell r="AI666">
            <v>1</v>
          </cell>
          <cell r="AJ666">
            <v>1</v>
          </cell>
          <cell r="AN666">
            <v>1</v>
          </cell>
          <cell r="AR666">
            <v>1</v>
          </cell>
          <cell r="AW666">
            <v>1</v>
          </cell>
          <cell r="AY666">
            <v>1</v>
          </cell>
          <cell r="BC666">
            <v>2</v>
          </cell>
          <cell r="BD666">
            <v>5</v>
          </cell>
          <cell r="BE666">
            <v>4</v>
          </cell>
          <cell r="BF666">
            <v>2</v>
          </cell>
          <cell r="BG666">
            <v>0</v>
          </cell>
          <cell r="BH666">
            <v>0</v>
          </cell>
          <cell r="BI666">
            <v>4</v>
          </cell>
        </row>
        <row r="667">
          <cell r="C667" t="str">
            <v>Phạm Minh Đạt</v>
          </cell>
          <cell r="D667">
            <v>1668</v>
          </cell>
          <cell r="F667">
            <v>1</v>
          </cell>
          <cell r="G667">
            <v>1</v>
          </cell>
          <cell r="H667">
            <v>1</v>
          </cell>
          <cell r="L667">
            <v>1</v>
          </cell>
          <cell r="M667">
            <v>1</v>
          </cell>
          <cell r="N667">
            <v>1</v>
          </cell>
          <cell r="O667">
            <v>1</v>
          </cell>
          <cell r="S667">
            <v>1</v>
          </cell>
          <cell r="U667">
            <v>1</v>
          </cell>
          <cell r="V667">
            <v>1</v>
          </cell>
          <cell r="Z667">
            <v>1</v>
          </cell>
          <cell r="AA667">
            <v>1</v>
          </cell>
          <cell r="AB667">
            <v>1</v>
          </cell>
          <cell r="AC667">
            <v>1</v>
          </cell>
          <cell r="AG667">
            <v>1</v>
          </cell>
          <cell r="AH667">
            <v>1</v>
          </cell>
          <cell r="AI667">
            <v>1</v>
          </cell>
          <cell r="AJ667">
            <v>1</v>
          </cell>
          <cell r="AN667">
            <v>1</v>
          </cell>
          <cell r="AT667">
            <v>1</v>
          </cell>
          <cell r="AW667">
            <v>1</v>
          </cell>
          <cell r="AY667">
            <v>1</v>
          </cell>
          <cell r="BC667">
            <v>3</v>
          </cell>
          <cell r="BD667">
            <v>5</v>
          </cell>
          <cell r="BE667">
            <v>4</v>
          </cell>
          <cell r="BF667">
            <v>1</v>
          </cell>
          <cell r="BG667">
            <v>0</v>
          </cell>
          <cell r="BH667">
            <v>1</v>
          </cell>
          <cell r="BI667">
            <v>4</v>
          </cell>
        </row>
        <row r="668">
          <cell r="C668" t="str">
            <v>Nguyễn Thế Ninh</v>
          </cell>
          <cell r="D668">
            <v>1710</v>
          </cell>
          <cell r="E668" t="str">
            <v>THNV Phó Tổng biên tập</v>
          </cell>
          <cell r="G668">
            <v>1</v>
          </cell>
          <cell r="I668">
            <v>1</v>
          </cell>
          <cell r="AP668">
            <v>1</v>
          </cell>
          <cell r="AW668">
            <v>1</v>
          </cell>
          <cell r="AY668">
            <v>1</v>
          </cell>
          <cell r="BC668">
            <v>0</v>
          </cell>
          <cell r="BD668">
            <v>2</v>
          </cell>
          <cell r="BE668">
            <v>0</v>
          </cell>
          <cell r="BF668">
            <v>1</v>
          </cell>
          <cell r="BG668">
            <v>0</v>
          </cell>
          <cell r="BH668">
            <v>0</v>
          </cell>
          <cell r="BI668">
            <v>0</v>
          </cell>
        </row>
        <row r="669">
          <cell r="C669" t="str">
            <v>Nguyễn Thị Quỳnh Trang</v>
          </cell>
          <cell r="D669">
            <v>1669</v>
          </cell>
          <cell r="E669" t="str">
            <v>Trưởng ban trị sự, BTCB</v>
          </cell>
          <cell r="G669">
            <v>1</v>
          </cell>
          <cell r="H669">
            <v>1</v>
          </cell>
          <cell r="L669">
            <v>1</v>
          </cell>
          <cell r="N669">
            <v>1</v>
          </cell>
          <cell r="O669">
            <v>1</v>
          </cell>
          <cell r="S669">
            <v>1</v>
          </cell>
          <cell r="T669">
            <v>1</v>
          </cell>
          <cell r="U669">
            <v>1</v>
          </cell>
          <cell r="V669">
            <v>1</v>
          </cell>
          <cell r="Z669">
            <v>1</v>
          </cell>
          <cell r="AB669">
            <v>1</v>
          </cell>
          <cell r="AC669">
            <v>1</v>
          </cell>
          <cell r="AG669">
            <v>1</v>
          </cell>
          <cell r="AI669">
            <v>1</v>
          </cell>
          <cell r="AJ669">
            <v>1</v>
          </cell>
          <cell r="AN669">
            <v>1</v>
          </cell>
          <cell r="AO669">
            <v>1</v>
          </cell>
          <cell r="AP669">
            <v>1</v>
          </cell>
          <cell r="AQ669">
            <v>1</v>
          </cell>
          <cell r="AU669">
            <v>1</v>
          </cell>
          <cell r="AW669">
            <v>1</v>
          </cell>
          <cell r="AX669">
            <v>1</v>
          </cell>
          <cell r="BB669">
            <v>1</v>
          </cell>
          <cell r="BC669">
            <v>2</v>
          </cell>
          <cell r="BD669">
            <v>6</v>
          </cell>
          <cell r="BE669">
            <v>6</v>
          </cell>
          <cell r="BF669">
            <v>0</v>
          </cell>
          <cell r="BG669">
            <v>0</v>
          </cell>
          <cell r="BH669">
            <v>0</v>
          </cell>
          <cell r="BI669">
            <v>6</v>
          </cell>
        </row>
        <row r="670">
          <cell r="C670" t="str">
            <v>Bùi Thị Thu</v>
          </cell>
          <cell r="D670">
            <v>1670</v>
          </cell>
          <cell r="E670" t="str">
            <v>TTCĐ</v>
          </cell>
          <cell r="G670">
            <v>1</v>
          </cell>
          <cell r="H670">
            <v>1</v>
          </cell>
          <cell r="L670">
            <v>1</v>
          </cell>
          <cell r="N670">
            <v>1</v>
          </cell>
          <cell r="O670">
            <v>1</v>
          </cell>
          <cell r="S670">
            <v>1</v>
          </cell>
          <cell r="U670">
            <v>1</v>
          </cell>
          <cell r="V670">
            <v>1</v>
          </cell>
          <cell r="Z670">
            <v>1</v>
          </cell>
          <cell r="AB670">
            <v>1</v>
          </cell>
          <cell r="AC670">
            <v>1</v>
          </cell>
          <cell r="AG670">
            <v>1</v>
          </cell>
          <cell r="AI670">
            <v>1</v>
          </cell>
          <cell r="AJ670">
            <v>1</v>
          </cell>
          <cell r="AN670">
            <v>1</v>
          </cell>
          <cell r="AP670">
            <v>1</v>
          </cell>
          <cell r="AQ670">
            <v>1</v>
          </cell>
          <cell r="AU670">
            <v>1</v>
          </cell>
          <cell r="AV670">
            <v>1</v>
          </cell>
          <cell r="AW670">
            <v>1</v>
          </cell>
          <cell r="AY670">
            <v>1</v>
          </cell>
          <cell r="BB670">
            <v>1</v>
          </cell>
          <cell r="BC670">
            <v>1</v>
          </cell>
          <cell r="BD670">
            <v>5</v>
          </cell>
          <cell r="BE670">
            <v>4</v>
          </cell>
          <cell r="BF670">
            <v>1</v>
          </cell>
          <cell r="BG670">
            <v>0</v>
          </cell>
          <cell r="BH670">
            <v>0</v>
          </cell>
          <cell r="BI670">
            <v>5</v>
          </cell>
        </row>
        <row r="671">
          <cell r="C671" t="str">
            <v>Hoàng Ngọc Cảnh</v>
          </cell>
          <cell r="D671">
            <v>1671</v>
          </cell>
          <cell r="E671" t="str">
            <v>Giám đốc</v>
          </cell>
          <cell r="G671">
            <v>1</v>
          </cell>
          <cell r="H671">
            <v>1</v>
          </cell>
          <cell r="L671">
            <v>1</v>
          </cell>
          <cell r="N671">
            <v>1</v>
          </cell>
          <cell r="O671">
            <v>1</v>
          </cell>
          <cell r="S671">
            <v>1</v>
          </cell>
          <cell r="U671">
            <v>1</v>
          </cell>
          <cell r="V671">
            <v>1</v>
          </cell>
          <cell r="Z671">
            <v>1</v>
          </cell>
          <cell r="AA671">
            <v>1</v>
          </cell>
          <cell r="AB671">
            <v>1</v>
          </cell>
          <cell r="AC671">
            <v>1</v>
          </cell>
          <cell r="AG671">
            <v>1</v>
          </cell>
          <cell r="AI671">
            <v>1</v>
          </cell>
          <cell r="AJ671">
            <v>1</v>
          </cell>
          <cell r="AN671">
            <v>1</v>
          </cell>
          <cell r="AP671">
            <v>1</v>
          </cell>
          <cell r="AQ671">
            <v>1</v>
          </cell>
          <cell r="AU671">
            <v>1</v>
          </cell>
          <cell r="AW671">
            <v>1</v>
          </cell>
          <cell r="AY671">
            <v>1</v>
          </cell>
          <cell r="BC671">
            <v>1</v>
          </cell>
          <cell r="BD671">
            <v>6</v>
          </cell>
          <cell r="BE671">
            <v>5</v>
          </cell>
          <cell r="BF671">
            <v>1</v>
          </cell>
          <cell r="BG671">
            <v>0</v>
          </cell>
          <cell r="BH671">
            <v>0</v>
          </cell>
          <cell r="BI671">
            <v>5</v>
          </cell>
        </row>
        <row r="672">
          <cell r="C672" t="str">
            <v>Trần Lê Kim Danh</v>
          </cell>
          <cell r="D672">
            <v>1672</v>
          </cell>
          <cell r="E672" t="str">
            <v>Phó Giám đốc, BTCB</v>
          </cell>
          <cell r="F672">
            <v>1</v>
          </cell>
          <cell r="G672">
            <v>1</v>
          </cell>
          <cell r="H672">
            <v>1</v>
          </cell>
          <cell r="L672">
            <v>1</v>
          </cell>
          <cell r="N672">
            <v>1</v>
          </cell>
          <cell r="O672">
            <v>1</v>
          </cell>
          <cell r="S672">
            <v>1</v>
          </cell>
          <cell r="U672">
            <v>1</v>
          </cell>
          <cell r="W672">
            <v>1</v>
          </cell>
          <cell r="AB672">
            <v>1</v>
          </cell>
          <cell r="AD672">
            <v>1</v>
          </cell>
          <cell r="AI672">
            <v>1</v>
          </cell>
          <cell r="AK672">
            <v>1</v>
          </cell>
          <cell r="AO672">
            <v>1</v>
          </cell>
          <cell r="AP672">
            <v>1</v>
          </cell>
          <cell r="AW672">
            <v>1</v>
          </cell>
          <cell r="AY672">
            <v>1</v>
          </cell>
          <cell r="BC672">
            <v>1</v>
          </cell>
          <cell r="BD672">
            <v>6</v>
          </cell>
          <cell r="BE672">
            <v>1</v>
          </cell>
          <cell r="BF672">
            <v>4</v>
          </cell>
          <cell r="BG672">
            <v>0</v>
          </cell>
          <cell r="BH672">
            <v>0</v>
          </cell>
          <cell r="BI672">
            <v>1</v>
          </cell>
        </row>
        <row r="673">
          <cell r="C673" t="str">
            <v>Vũ Quang Huy</v>
          </cell>
          <cell r="D673">
            <v>1674</v>
          </cell>
          <cell r="E673" t="str">
            <v>TTCĐ</v>
          </cell>
          <cell r="G673">
            <v>1</v>
          </cell>
          <cell r="H673">
            <v>1</v>
          </cell>
          <cell r="L673">
            <v>1</v>
          </cell>
          <cell r="M673">
            <v>1</v>
          </cell>
          <cell r="N673">
            <v>1</v>
          </cell>
          <cell r="O673">
            <v>1</v>
          </cell>
          <cell r="S673">
            <v>1</v>
          </cell>
          <cell r="U673">
            <v>1</v>
          </cell>
          <cell r="W673">
            <v>1</v>
          </cell>
          <cell r="AB673">
            <v>1</v>
          </cell>
          <cell r="AD673">
            <v>1</v>
          </cell>
          <cell r="AI673">
            <v>1</v>
          </cell>
          <cell r="AK673">
            <v>1</v>
          </cell>
          <cell r="AP673">
            <v>1</v>
          </cell>
          <cell r="AW673">
            <v>1</v>
          </cell>
          <cell r="AX673">
            <v>1</v>
          </cell>
          <cell r="BB673">
            <v>1</v>
          </cell>
          <cell r="BC673">
            <v>1</v>
          </cell>
          <cell r="BD673">
            <v>6</v>
          </cell>
          <cell r="BE673">
            <v>2</v>
          </cell>
          <cell r="BF673">
            <v>3</v>
          </cell>
          <cell r="BG673">
            <v>0</v>
          </cell>
          <cell r="BH673">
            <v>0</v>
          </cell>
          <cell r="BI673">
            <v>2</v>
          </cell>
        </row>
        <row r="674">
          <cell r="C674" t="str">
            <v>Phạm Mạnh Hà</v>
          </cell>
          <cell r="D674">
            <v>1675</v>
          </cell>
          <cell r="G674">
            <v>1</v>
          </cell>
          <cell r="I674">
            <v>1</v>
          </cell>
          <cell r="N674">
            <v>1</v>
          </cell>
          <cell r="P674">
            <v>1</v>
          </cell>
          <cell r="U674">
            <v>1</v>
          </cell>
          <cell r="W674">
            <v>1</v>
          </cell>
          <cell r="AB674">
            <v>1</v>
          </cell>
          <cell r="AD674">
            <v>1</v>
          </cell>
          <cell r="AI674">
            <v>1</v>
          </cell>
          <cell r="AJ674">
            <v>1</v>
          </cell>
          <cell r="AN674">
            <v>1</v>
          </cell>
          <cell r="AP674">
            <v>1</v>
          </cell>
          <cell r="AV674">
            <v>1</v>
          </cell>
          <cell r="AW674">
            <v>1</v>
          </cell>
          <cell r="AY674">
            <v>1</v>
          </cell>
          <cell r="BB674">
            <v>1</v>
          </cell>
          <cell r="BC674">
            <v>1</v>
          </cell>
          <cell r="BD674">
            <v>6</v>
          </cell>
          <cell r="BE674">
            <v>1</v>
          </cell>
          <cell r="BF674">
            <v>4</v>
          </cell>
          <cell r="BG674">
            <v>0</v>
          </cell>
          <cell r="BH674">
            <v>0</v>
          </cell>
          <cell r="BI674">
            <v>2</v>
          </cell>
        </row>
        <row r="675">
          <cell r="C675" t="str">
            <v>Vũ Minh Ngọc</v>
          </cell>
          <cell r="D675">
            <v>1677</v>
          </cell>
          <cell r="G675">
            <v>1</v>
          </cell>
          <cell r="H675">
            <v>1</v>
          </cell>
          <cell r="L675">
            <v>1</v>
          </cell>
          <cell r="N675">
            <v>1</v>
          </cell>
          <cell r="O675">
            <v>1</v>
          </cell>
          <cell r="S675">
            <v>1</v>
          </cell>
          <cell r="T675">
            <v>1</v>
          </cell>
          <cell r="U675">
            <v>1</v>
          </cell>
          <cell r="V675">
            <v>1</v>
          </cell>
          <cell r="Z675">
            <v>1</v>
          </cell>
          <cell r="AH675">
            <v>1</v>
          </cell>
          <cell r="AI675">
            <v>1</v>
          </cell>
          <cell r="AJ675">
            <v>1</v>
          </cell>
          <cell r="AN675">
            <v>1</v>
          </cell>
          <cell r="AP675">
            <v>1</v>
          </cell>
          <cell r="AQ675">
            <v>1</v>
          </cell>
          <cell r="AU675">
            <v>1</v>
          </cell>
          <cell r="AW675">
            <v>1</v>
          </cell>
          <cell r="AY675">
            <v>1</v>
          </cell>
          <cell r="BC675">
            <v>2</v>
          </cell>
          <cell r="BD675">
            <v>5</v>
          </cell>
          <cell r="BE675">
            <v>4</v>
          </cell>
          <cell r="BF675">
            <v>1</v>
          </cell>
          <cell r="BG675">
            <v>0</v>
          </cell>
          <cell r="BH675">
            <v>0</v>
          </cell>
          <cell r="BI675">
            <v>4</v>
          </cell>
        </row>
        <row r="676">
          <cell r="C676" t="str">
            <v>Đỗ Xuân Trường</v>
          </cell>
          <cell r="D676">
            <v>1678</v>
          </cell>
          <cell r="G676">
            <v>1</v>
          </cell>
          <cell r="I676">
            <v>1</v>
          </cell>
          <cell r="N676">
            <v>1</v>
          </cell>
          <cell r="P676">
            <v>1</v>
          </cell>
          <cell r="U676">
            <v>1</v>
          </cell>
          <cell r="W676">
            <v>1</v>
          </cell>
          <cell r="AB676">
            <v>1</v>
          </cell>
          <cell r="AC676">
            <v>1</v>
          </cell>
          <cell r="AG676">
            <v>1</v>
          </cell>
          <cell r="AH676">
            <v>1</v>
          </cell>
          <cell r="AI676">
            <v>1</v>
          </cell>
          <cell r="AJ676">
            <v>1</v>
          </cell>
          <cell r="AN676">
            <v>1</v>
          </cell>
          <cell r="AP676">
            <v>1</v>
          </cell>
          <cell r="AQ676">
            <v>1</v>
          </cell>
          <cell r="AU676">
            <v>1</v>
          </cell>
          <cell r="AV676">
            <v>1</v>
          </cell>
          <cell r="AW676">
            <v>1</v>
          </cell>
          <cell r="AY676">
            <v>1</v>
          </cell>
          <cell r="BB676">
            <v>1</v>
          </cell>
          <cell r="BC676">
            <v>2</v>
          </cell>
          <cell r="BD676">
            <v>6</v>
          </cell>
          <cell r="BE676">
            <v>3</v>
          </cell>
          <cell r="BF676">
            <v>3</v>
          </cell>
          <cell r="BG676">
            <v>0</v>
          </cell>
          <cell r="BH676">
            <v>0</v>
          </cell>
          <cell r="BI676">
            <v>4</v>
          </cell>
        </row>
        <row r="677">
          <cell r="C677" t="str">
            <v>Lê Minh Tuấn</v>
          </cell>
          <cell r="D677">
            <v>1679</v>
          </cell>
          <cell r="G677">
            <v>1</v>
          </cell>
          <cell r="I677">
            <v>1</v>
          </cell>
          <cell r="N677">
            <v>1</v>
          </cell>
          <cell r="P677">
            <v>1</v>
          </cell>
          <cell r="U677">
            <v>1</v>
          </cell>
          <cell r="W677">
            <v>1</v>
          </cell>
          <cell r="AB677">
            <v>1</v>
          </cell>
          <cell r="AD677">
            <v>1</v>
          </cell>
          <cell r="AI677">
            <v>1</v>
          </cell>
          <cell r="AJ677">
            <v>1</v>
          </cell>
          <cell r="AN677">
            <v>1</v>
          </cell>
          <cell r="AO677">
            <v>1</v>
          </cell>
          <cell r="AP677">
            <v>1</v>
          </cell>
          <cell r="AQ677">
            <v>1</v>
          </cell>
          <cell r="AU677">
            <v>1</v>
          </cell>
          <cell r="AW677">
            <v>1</v>
          </cell>
          <cell r="AY677">
            <v>1</v>
          </cell>
          <cell r="BC677">
            <v>1</v>
          </cell>
          <cell r="BD677">
            <v>6</v>
          </cell>
          <cell r="BE677">
            <v>2</v>
          </cell>
          <cell r="BF677">
            <v>4</v>
          </cell>
          <cell r="BG677">
            <v>0</v>
          </cell>
          <cell r="BH677">
            <v>0</v>
          </cell>
          <cell r="BI677">
            <v>2</v>
          </cell>
        </row>
        <row r="678">
          <cell r="C678" t="str">
            <v>Hà Thị Cẩm Phương</v>
          </cell>
          <cell r="D678">
            <v>1676</v>
          </cell>
          <cell r="G678">
            <v>1</v>
          </cell>
          <cell r="I678">
            <v>1</v>
          </cell>
          <cell r="N678">
            <v>1</v>
          </cell>
          <cell r="P678">
            <v>1</v>
          </cell>
          <cell r="U678">
            <v>1</v>
          </cell>
          <cell r="W678">
            <v>1</v>
          </cell>
          <cell r="AB678">
            <v>1</v>
          </cell>
          <cell r="AD678">
            <v>1</v>
          </cell>
          <cell r="AI678">
            <v>1</v>
          </cell>
          <cell r="AJ678">
            <v>1</v>
          </cell>
          <cell r="AN678">
            <v>1</v>
          </cell>
          <cell r="AP678">
            <v>1</v>
          </cell>
          <cell r="AW678">
            <v>1</v>
          </cell>
          <cell r="AY678">
            <v>1</v>
          </cell>
          <cell r="BC678">
            <v>0</v>
          </cell>
          <cell r="BD678">
            <v>6</v>
          </cell>
          <cell r="BE678">
            <v>1</v>
          </cell>
          <cell r="BF678">
            <v>4</v>
          </cell>
          <cell r="BG678">
            <v>0</v>
          </cell>
          <cell r="BH678">
            <v>0</v>
          </cell>
          <cell r="BI678">
            <v>1</v>
          </cell>
        </row>
        <row r="679">
          <cell r="C679" t="str">
            <v>Nguyễn Công Sơn</v>
          </cell>
          <cell r="D679">
            <v>1680</v>
          </cell>
          <cell r="G679">
            <v>1</v>
          </cell>
          <cell r="I679">
            <v>1</v>
          </cell>
          <cell r="N679">
            <v>1</v>
          </cell>
          <cell r="P679">
            <v>1</v>
          </cell>
          <cell r="U679">
            <v>1</v>
          </cell>
          <cell r="W679">
            <v>1</v>
          </cell>
          <cell r="AB679">
            <v>1</v>
          </cell>
          <cell r="AD679">
            <v>1</v>
          </cell>
          <cell r="AI679">
            <v>1</v>
          </cell>
          <cell r="AJ679">
            <v>1</v>
          </cell>
          <cell r="AN679">
            <v>1</v>
          </cell>
          <cell r="AP679">
            <v>1</v>
          </cell>
          <cell r="AW679">
            <v>1</v>
          </cell>
          <cell r="AY679">
            <v>1</v>
          </cell>
          <cell r="BB679">
            <v>1</v>
          </cell>
          <cell r="BC679">
            <v>0</v>
          </cell>
          <cell r="BD679">
            <v>6</v>
          </cell>
          <cell r="BE679">
            <v>1</v>
          </cell>
          <cell r="BF679">
            <v>4</v>
          </cell>
          <cell r="BG679">
            <v>0</v>
          </cell>
          <cell r="BH679">
            <v>0</v>
          </cell>
          <cell r="BI679">
            <v>2</v>
          </cell>
        </row>
        <row r="680">
          <cell r="C680" t="str">
            <v>Nguyễn Thị Thu Điệp</v>
          </cell>
          <cell r="D680">
            <v>1681</v>
          </cell>
          <cell r="E680" t="str">
            <v>Giám đốc, BTCB</v>
          </cell>
          <cell r="G680">
            <v>1</v>
          </cell>
          <cell r="H680">
            <v>1</v>
          </cell>
          <cell r="L680">
            <v>1</v>
          </cell>
          <cell r="M680">
            <v>1</v>
          </cell>
          <cell r="N680">
            <v>1</v>
          </cell>
          <cell r="O680">
            <v>1</v>
          </cell>
          <cell r="S680">
            <v>1</v>
          </cell>
          <cell r="T680">
            <v>1</v>
          </cell>
          <cell r="U680">
            <v>1</v>
          </cell>
          <cell r="V680">
            <v>1</v>
          </cell>
          <cell r="Z680">
            <v>1</v>
          </cell>
          <cell r="AA680">
            <v>1</v>
          </cell>
          <cell r="AB680">
            <v>1</v>
          </cell>
          <cell r="AC680">
            <v>1</v>
          </cell>
          <cell r="AG680">
            <v>1</v>
          </cell>
          <cell r="AH680">
            <v>1</v>
          </cell>
          <cell r="AI680">
            <v>1</v>
          </cell>
          <cell r="AJ680">
            <v>1</v>
          </cell>
          <cell r="AN680">
            <v>1</v>
          </cell>
          <cell r="AP680">
            <v>1</v>
          </cell>
          <cell r="AW680">
            <v>1</v>
          </cell>
          <cell r="AY680">
            <v>1</v>
          </cell>
          <cell r="BC680">
            <v>4</v>
          </cell>
          <cell r="BD680">
            <v>6</v>
          </cell>
          <cell r="BE680">
            <v>4</v>
          </cell>
          <cell r="BF680">
            <v>1</v>
          </cell>
          <cell r="BG680">
            <v>0</v>
          </cell>
          <cell r="BH680">
            <v>0</v>
          </cell>
          <cell r="BI680">
            <v>4</v>
          </cell>
        </row>
        <row r="681">
          <cell r="C681" t="str">
            <v>Hoàng Thị Bích Thủy</v>
          </cell>
          <cell r="D681">
            <v>1682</v>
          </cell>
          <cell r="E681" t="str">
            <v>Phó Giám đốc, PBTCB</v>
          </cell>
          <cell r="F681">
            <v>1</v>
          </cell>
          <cell r="G681">
            <v>1</v>
          </cell>
          <cell r="H681">
            <v>1</v>
          </cell>
          <cell r="L681">
            <v>1</v>
          </cell>
          <cell r="M681">
            <v>1</v>
          </cell>
          <cell r="N681">
            <v>1</v>
          </cell>
          <cell r="O681">
            <v>1</v>
          </cell>
          <cell r="S681">
            <v>1</v>
          </cell>
          <cell r="T681">
            <v>1</v>
          </cell>
          <cell r="U681">
            <v>1</v>
          </cell>
          <cell r="V681">
            <v>1</v>
          </cell>
          <cell r="Z681">
            <v>1</v>
          </cell>
          <cell r="AA681">
            <v>1</v>
          </cell>
          <cell r="AB681">
            <v>1</v>
          </cell>
          <cell r="AC681">
            <v>1</v>
          </cell>
          <cell r="AG681">
            <v>1</v>
          </cell>
          <cell r="AI681">
            <v>1</v>
          </cell>
          <cell r="AJ681">
            <v>1</v>
          </cell>
          <cell r="AN681">
            <v>1</v>
          </cell>
          <cell r="AO681">
            <v>1</v>
          </cell>
          <cell r="AP681">
            <v>1</v>
          </cell>
          <cell r="AQ681">
            <v>1</v>
          </cell>
          <cell r="AU681">
            <v>1</v>
          </cell>
          <cell r="AV681">
            <v>1</v>
          </cell>
          <cell r="AW681">
            <v>1</v>
          </cell>
          <cell r="AY681">
            <v>1</v>
          </cell>
          <cell r="BC681">
            <v>5</v>
          </cell>
          <cell r="BD681">
            <v>6</v>
          </cell>
          <cell r="BE681">
            <v>5</v>
          </cell>
          <cell r="BF681">
            <v>1</v>
          </cell>
          <cell r="BG681">
            <v>0</v>
          </cell>
          <cell r="BH681">
            <v>0</v>
          </cell>
          <cell r="BI681">
            <v>5</v>
          </cell>
        </row>
        <row r="682">
          <cell r="C682" t="str">
            <v>Trần Thị Mỹ</v>
          </cell>
          <cell r="D682">
            <v>1683</v>
          </cell>
          <cell r="G682">
            <v>1</v>
          </cell>
          <cell r="I682">
            <v>1</v>
          </cell>
          <cell r="N682">
            <v>1</v>
          </cell>
          <cell r="P682">
            <v>1</v>
          </cell>
          <cell r="U682">
            <v>1</v>
          </cell>
          <cell r="W682">
            <v>1</v>
          </cell>
          <cell r="AB682">
            <v>1</v>
          </cell>
          <cell r="AC682">
            <v>1</v>
          </cell>
          <cell r="AG682">
            <v>1</v>
          </cell>
          <cell r="AI682">
            <v>1</v>
          </cell>
          <cell r="AJ682">
            <v>1</v>
          </cell>
          <cell r="AN682">
            <v>1</v>
          </cell>
          <cell r="AP682">
            <v>1</v>
          </cell>
          <cell r="AW682">
            <v>1</v>
          </cell>
          <cell r="AY682">
            <v>1</v>
          </cell>
          <cell r="BC682">
            <v>0</v>
          </cell>
          <cell r="BD682">
            <v>6</v>
          </cell>
          <cell r="BE682">
            <v>2</v>
          </cell>
          <cell r="BF682">
            <v>3</v>
          </cell>
          <cell r="BG682">
            <v>0</v>
          </cell>
          <cell r="BH682">
            <v>0</v>
          </cell>
          <cell r="BI682">
            <v>2</v>
          </cell>
        </row>
        <row r="683">
          <cell r="C683" t="str">
            <v>Nguyễn Thị Phương Lan</v>
          </cell>
          <cell r="D683">
            <v>1684</v>
          </cell>
          <cell r="G683">
            <v>1</v>
          </cell>
          <cell r="I683">
            <v>1</v>
          </cell>
          <cell r="N683">
            <v>1</v>
          </cell>
          <cell r="P683">
            <v>1</v>
          </cell>
          <cell r="U683">
            <v>1</v>
          </cell>
          <cell r="W683">
            <v>1</v>
          </cell>
          <cell r="AB683">
            <v>1</v>
          </cell>
          <cell r="AC683">
            <v>1</v>
          </cell>
          <cell r="AG683">
            <v>1</v>
          </cell>
          <cell r="AI683">
            <v>1</v>
          </cell>
          <cell r="AK683">
            <v>1</v>
          </cell>
          <cell r="AP683">
            <v>1</v>
          </cell>
          <cell r="AW683">
            <v>1</v>
          </cell>
          <cell r="AY683">
            <v>1</v>
          </cell>
          <cell r="BC683">
            <v>0</v>
          </cell>
          <cell r="BD683">
            <v>6</v>
          </cell>
          <cell r="BE683">
            <v>1</v>
          </cell>
          <cell r="BF683">
            <v>4</v>
          </cell>
          <cell r="BG683">
            <v>0</v>
          </cell>
          <cell r="BH683">
            <v>0</v>
          </cell>
          <cell r="BI683">
            <v>1</v>
          </cell>
        </row>
        <row r="684">
          <cell r="C684" t="str">
            <v>Vũ Thị Liên</v>
          </cell>
          <cell r="D684">
            <v>1685</v>
          </cell>
          <cell r="G684">
            <v>1</v>
          </cell>
          <cell r="I684">
            <v>1</v>
          </cell>
          <cell r="N684">
            <v>1</v>
          </cell>
          <cell r="O684">
            <v>1</v>
          </cell>
          <cell r="S684">
            <v>1</v>
          </cell>
          <cell r="U684">
            <v>1</v>
          </cell>
          <cell r="V684">
            <v>1</v>
          </cell>
          <cell r="Z684">
            <v>1</v>
          </cell>
          <cell r="AB684">
            <v>1</v>
          </cell>
          <cell r="AC684">
            <v>1</v>
          </cell>
          <cell r="AG684">
            <v>1</v>
          </cell>
          <cell r="AI684">
            <v>1</v>
          </cell>
          <cell r="AJ684">
            <v>1</v>
          </cell>
          <cell r="AN684">
            <v>1</v>
          </cell>
          <cell r="AP684">
            <v>1</v>
          </cell>
          <cell r="AQ684">
            <v>1</v>
          </cell>
          <cell r="AU684">
            <v>1</v>
          </cell>
          <cell r="AW684">
            <v>1</v>
          </cell>
          <cell r="AY684">
            <v>1</v>
          </cell>
          <cell r="BC684">
            <v>0</v>
          </cell>
          <cell r="BD684">
            <v>6</v>
          </cell>
          <cell r="BE684">
            <v>5</v>
          </cell>
          <cell r="BF684">
            <v>1</v>
          </cell>
          <cell r="BG684">
            <v>0</v>
          </cell>
          <cell r="BH684">
            <v>0</v>
          </cell>
          <cell r="BI684">
            <v>5</v>
          </cell>
        </row>
        <row r="685">
          <cell r="C685" t="str">
            <v>Vũ Ngọc Minh</v>
          </cell>
          <cell r="D685">
            <v>1686</v>
          </cell>
          <cell r="G685">
            <v>1</v>
          </cell>
          <cell r="I685">
            <v>1</v>
          </cell>
          <cell r="N685">
            <v>1</v>
          </cell>
          <cell r="P685">
            <v>1</v>
          </cell>
          <cell r="U685">
            <v>1</v>
          </cell>
          <cell r="W685">
            <v>1</v>
          </cell>
          <cell r="AB685">
            <v>1</v>
          </cell>
          <cell r="AC685">
            <v>1</v>
          </cell>
          <cell r="AG685">
            <v>1</v>
          </cell>
          <cell r="AI685">
            <v>1</v>
          </cell>
          <cell r="AJ685">
            <v>1</v>
          </cell>
          <cell r="AN685">
            <v>1</v>
          </cell>
          <cell r="AO685">
            <v>1</v>
          </cell>
          <cell r="AP685">
            <v>1</v>
          </cell>
          <cell r="AQ685">
            <v>1</v>
          </cell>
          <cell r="AU685">
            <v>1</v>
          </cell>
          <cell r="AV685">
            <v>1</v>
          </cell>
          <cell r="AW685">
            <v>1</v>
          </cell>
          <cell r="AX685">
            <v>1</v>
          </cell>
          <cell r="BC685">
            <v>2</v>
          </cell>
          <cell r="BD685">
            <v>6</v>
          </cell>
          <cell r="BE685">
            <v>4</v>
          </cell>
          <cell r="BF685">
            <v>2</v>
          </cell>
          <cell r="BG685">
            <v>0</v>
          </cell>
          <cell r="BH685">
            <v>0</v>
          </cell>
          <cell r="BI685">
            <v>3</v>
          </cell>
        </row>
        <row r="686">
          <cell r="C686" t="str">
            <v>Lê Thị Thanh Hảo</v>
          </cell>
          <cell r="D686">
            <v>1687</v>
          </cell>
          <cell r="E686" t="str">
            <v>TTCĐ</v>
          </cell>
          <cell r="G686">
            <v>1</v>
          </cell>
          <cell r="I686">
            <v>1</v>
          </cell>
          <cell r="N686">
            <v>1</v>
          </cell>
          <cell r="O686">
            <v>1</v>
          </cell>
          <cell r="S686">
            <v>1</v>
          </cell>
          <cell r="U686">
            <v>1</v>
          </cell>
          <cell r="V686">
            <v>1</v>
          </cell>
          <cell r="Z686">
            <v>1</v>
          </cell>
          <cell r="AB686">
            <v>1</v>
          </cell>
          <cell r="AC686">
            <v>1</v>
          </cell>
          <cell r="AG686">
            <v>1</v>
          </cell>
          <cell r="AI686">
            <v>1</v>
          </cell>
          <cell r="AJ686">
            <v>1</v>
          </cell>
          <cell r="AN686">
            <v>1</v>
          </cell>
          <cell r="AO686">
            <v>1</v>
          </cell>
          <cell r="AP686">
            <v>1</v>
          </cell>
          <cell r="AQ686">
            <v>1</v>
          </cell>
          <cell r="AU686">
            <v>1</v>
          </cell>
          <cell r="AV686">
            <v>1</v>
          </cell>
          <cell r="AW686">
            <v>1</v>
          </cell>
          <cell r="AX686">
            <v>1</v>
          </cell>
          <cell r="BC686">
            <v>2</v>
          </cell>
          <cell r="BD686">
            <v>5</v>
          </cell>
          <cell r="BE686">
            <v>5</v>
          </cell>
          <cell r="BF686">
            <v>0</v>
          </cell>
          <cell r="BG686">
            <v>0</v>
          </cell>
          <cell r="BH686">
            <v>0</v>
          </cell>
          <cell r="BI686">
            <v>4</v>
          </cell>
        </row>
        <row r="687">
          <cell r="C687" t="str">
            <v>Lê Thị Huệ</v>
          </cell>
          <cell r="D687">
            <v>1688</v>
          </cell>
          <cell r="G687">
            <v>1</v>
          </cell>
          <cell r="I687">
            <v>1</v>
          </cell>
          <cell r="N687">
            <v>1</v>
          </cell>
          <cell r="O687">
            <v>1</v>
          </cell>
          <cell r="S687">
            <v>1</v>
          </cell>
          <cell r="U687">
            <v>1</v>
          </cell>
          <cell r="V687">
            <v>1</v>
          </cell>
          <cell r="Z687">
            <v>1</v>
          </cell>
          <cell r="AB687">
            <v>1</v>
          </cell>
          <cell r="AC687">
            <v>1</v>
          </cell>
          <cell r="AG687">
            <v>1</v>
          </cell>
          <cell r="AI687">
            <v>1</v>
          </cell>
          <cell r="AJ687">
            <v>1</v>
          </cell>
          <cell r="AN687">
            <v>1</v>
          </cell>
          <cell r="AP687">
            <v>1</v>
          </cell>
          <cell r="AQ687">
            <v>1</v>
          </cell>
          <cell r="AU687">
            <v>1</v>
          </cell>
          <cell r="AW687">
            <v>1</v>
          </cell>
          <cell r="AY687">
            <v>1</v>
          </cell>
          <cell r="BC687">
            <v>0</v>
          </cell>
          <cell r="BD687">
            <v>5</v>
          </cell>
          <cell r="BE687">
            <v>4</v>
          </cell>
          <cell r="BF687">
            <v>1</v>
          </cell>
          <cell r="BG687">
            <v>0</v>
          </cell>
          <cell r="BH687">
            <v>0</v>
          </cell>
          <cell r="BI687">
            <v>4</v>
          </cell>
        </row>
        <row r="688">
          <cell r="C688" t="str">
            <v>Trần Thị Nga</v>
          </cell>
          <cell r="D688">
            <v>1689</v>
          </cell>
          <cell r="E688" t="str">
            <v>BTCĐ</v>
          </cell>
          <cell r="G688">
            <v>1</v>
          </cell>
          <cell r="I688">
            <v>1</v>
          </cell>
          <cell r="N688">
            <v>1</v>
          </cell>
          <cell r="P688">
            <v>1</v>
          </cell>
          <cell r="U688">
            <v>1</v>
          </cell>
          <cell r="V688">
            <v>1</v>
          </cell>
          <cell r="Z688">
            <v>1</v>
          </cell>
          <cell r="AB688">
            <v>1</v>
          </cell>
          <cell r="AC688">
            <v>1</v>
          </cell>
          <cell r="AG688">
            <v>1</v>
          </cell>
          <cell r="AH688">
            <v>1</v>
          </cell>
          <cell r="AI688">
            <v>1</v>
          </cell>
          <cell r="AJ688">
            <v>1</v>
          </cell>
          <cell r="AN688">
            <v>1</v>
          </cell>
          <cell r="AP688">
            <v>1</v>
          </cell>
          <cell r="AQ688">
            <v>1</v>
          </cell>
          <cell r="AU688">
            <v>1</v>
          </cell>
          <cell r="AW688">
            <v>1</v>
          </cell>
          <cell r="AY688">
            <v>1</v>
          </cell>
          <cell r="BC688">
            <v>1</v>
          </cell>
          <cell r="BD688">
            <v>6</v>
          </cell>
          <cell r="BE688">
            <v>4</v>
          </cell>
          <cell r="BF688">
            <v>2</v>
          </cell>
          <cell r="BG688">
            <v>0</v>
          </cell>
          <cell r="BH688">
            <v>0</v>
          </cell>
          <cell r="BI688">
            <v>4</v>
          </cell>
        </row>
        <row r="689">
          <cell r="C689" t="str">
            <v>Hoàng Thị Bão</v>
          </cell>
          <cell r="D689">
            <v>1690</v>
          </cell>
          <cell r="G689">
            <v>1</v>
          </cell>
          <cell r="I689">
            <v>1</v>
          </cell>
          <cell r="N689">
            <v>1</v>
          </cell>
          <cell r="P689">
            <v>1</v>
          </cell>
          <cell r="U689">
            <v>1</v>
          </cell>
          <cell r="V689">
            <v>1</v>
          </cell>
          <cell r="Z689">
            <v>1</v>
          </cell>
          <cell r="AB689">
            <v>1</v>
          </cell>
          <cell r="AC689">
            <v>1</v>
          </cell>
          <cell r="AG689">
            <v>1</v>
          </cell>
          <cell r="AI689">
            <v>1</v>
          </cell>
          <cell r="AJ689">
            <v>1</v>
          </cell>
          <cell r="AN689">
            <v>1</v>
          </cell>
          <cell r="AP689">
            <v>1</v>
          </cell>
          <cell r="AW689">
            <v>1</v>
          </cell>
          <cell r="AY689">
            <v>1</v>
          </cell>
          <cell r="BC689">
            <v>0</v>
          </cell>
          <cell r="BD689">
            <v>6</v>
          </cell>
          <cell r="BE689">
            <v>3</v>
          </cell>
          <cell r="BF689">
            <v>2</v>
          </cell>
          <cell r="BG689">
            <v>0</v>
          </cell>
          <cell r="BH689">
            <v>0</v>
          </cell>
          <cell r="BI689">
            <v>3</v>
          </cell>
        </row>
        <row r="690">
          <cell r="C690" t="str">
            <v>Dương Phúc Sơn</v>
          </cell>
          <cell r="D690">
            <v>1691</v>
          </cell>
          <cell r="G690">
            <v>1</v>
          </cell>
          <cell r="I690">
            <v>1</v>
          </cell>
          <cell r="N690">
            <v>1</v>
          </cell>
          <cell r="O690">
            <v>1</v>
          </cell>
          <cell r="S690">
            <v>1</v>
          </cell>
          <cell r="U690">
            <v>1</v>
          </cell>
          <cell r="W690">
            <v>1</v>
          </cell>
          <cell r="AB690">
            <v>1</v>
          </cell>
          <cell r="AC690">
            <v>1</v>
          </cell>
          <cell r="AG690">
            <v>1</v>
          </cell>
          <cell r="AI690">
            <v>1</v>
          </cell>
          <cell r="AJ690">
            <v>1</v>
          </cell>
          <cell r="AN690">
            <v>1</v>
          </cell>
          <cell r="AP690">
            <v>1</v>
          </cell>
          <cell r="AQ690">
            <v>1</v>
          </cell>
          <cell r="AU690">
            <v>1</v>
          </cell>
          <cell r="AV690">
            <v>1</v>
          </cell>
          <cell r="AW690">
            <v>1</v>
          </cell>
          <cell r="AX690">
            <v>1</v>
          </cell>
          <cell r="BC690">
            <v>1</v>
          </cell>
          <cell r="BD690">
            <v>5</v>
          </cell>
          <cell r="BE690">
            <v>4</v>
          </cell>
          <cell r="BF690">
            <v>1</v>
          </cell>
          <cell r="BG690">
            <v>0</v>
          </cell>
          <cell r="BH690">
            <v>0</v>
          </cell>
          <cell r="BI690">
            <v>3</v>
          </cell>
        </row>
        <row r="691">
          <cell r="C691" t="str">
            <v>Lê Thị Hiệu</v>
          </cell>
          <cell r="D691">
            <v>1692</v>
          </cell>
          <cell r="G691">
            <v>1</v>
          </cell>
          <cell r="I691">
            <v>1</v>
          </cell>
          <cell r="N691">
            <v>1</v>
          </cell>
          <cell r="P691">
            <v>1</v>
          </cell>
          <cell r="U691">
            <v>1</v>
          </cell>
          <cell r="V691">
            <v>1</v>
          </cell>
          <cell r="Z691">
            <v>1</v>
          </cell>
          <cell r="AB691">
            <v>1</v>
          </cell>
          <cell r="AC691">
            <v>1</v>
          </cell>
          <cell r="AG691">
            <v>1</v>
          </cell>
          <cell r="AH691">
            <v>1</v>
          </cell>
          <cell r="AI691">
            <v>1</v>
          </cell>
          <cell r="AJ691">
            <v>1</v>
          </cell>
          <cell r="AN691">
            <v>1</v>
          </cell>
          <cell r="AP691">
            <v>1</v>
          </cell>
          <cell r="AQ691">
            <v>1</v>
          </cell>
          <cell r="AU691">
            <v>1</v>
          </cell>
          <cell r="AW691">
            <v>1</v>
          </cell>
          <cell r="AY691">
            <v>1</v>
          </cell>
          <cell r="BC691">
            <v>1</v>
          </cell>
          <cell r="BD691">
            <v>6</v>
          </cell>
          <cell r="BE691">
            <v>4</v>
          </cell>
          <cell r="BF691">
            <v>2</v>
          </cell>
          <cell r="BG691">
            <v>0</v>
          </cell>
          <cell r="BH691">
            <v>0</v>
          </cell>
          <cell r="BI691">
            <v>4</v>
          </cell>
        </row>
        <row r="692">
          <cell r="C692" t="str">
            <v>Phạm Bảo Ninh</v>
          </cell>
          <cell r="D692">
            <v>1693</v>
          </cell>
          <cell r="G692">
            <v>1</v>
          </cell>
          <cell r="I692">
            <v>1</v>
          </cell>
          <cell r="N692">
            <v>1</v>
          </cell>
          <cell r="P692">
            <v>1</v>
          </cell>
          <cell r="U692">
            <v>1</v>
          </cell>
          <cell r="W692">
            <v>1</v>
          </cell>
          <cell r="AB692">
            <v>1</v>
          </cell>
          <cell r="AD692">
            <v>1</v>
          </cell>
          <cell r="AI692">
            <v>1</v>
          </cell>
          <cell r="AK692">
            <v>1</v>
          </cell>
          <cell r="AP692">
            <v>1</v>
          </cell>
          <cell r="AU692">
            <v>1</v>
          </cell>
          <cell r="AW692">
            <v>1</v>
          </cell>
          <cell r="AY692">
            <v>1</v>
          </cell>
          <cell r="BC692">
            <v>0</v>
          </cell>
          <cell r="BD692">
            <v>6</v>
          </cell>
          <cell r="BE692">
            <v>0</v>
          </cell>
          <cell r="BF692">
            <v>5</v>
          </cell>
          <cell r="BG692">
            <v>0</v>
          </cell>
          <cell r="BH692">
            <v>0</v>
          </cell>
          <cell r="BI692">
            <v>1</v>
          </cell>
        </row>
        <row r="693">
          <cell r="C693" t="str">
            <v>Đỗ Thị Nhinh</v>
          </cell>
          <cell r="D693">
            <v>1694</v>
          </cell>
          <cell r="P693">
            <v>1</v>
          </cell>
          <cell r="U693">
            <v>1</v>
          </cell>
          <cell r="W693">
            <v>1</v>
          </cell>
          <cell r="AB693">
            <v>1</v>
          </cell>
          <cell r="AD693">
            <v>1</v>
          </cell>
          <cell r="AI693">
            <v>1</v>
          </cell>
          <cell r="AJ693">
            <v>1</v>
          </cell>
          <cell r="AN693">
            <v>1</v>
          </cell>
          <cell r="AP693">
            <v>1</v>
          </cell>
          <cell r="AQ693">
            <v>1</v>
          </cell>
          <cell r="AW693">
            <v>1</v>
          </cell>
          <cell r="AY693">
            <v>1</v>
          </cell>
          <cell r="BC693">
            <v>0</v>
          </cell>
          <cell r="BD693">
            <v>5</v>
          </cell>
          <cell r="BE693">
            <v>2</v>
          </cell>
          <cell r="BF693">
            <v>4</v>
          </cell>
          <cell r="BG693">
            <v>0</v>
          </cell>
          <cell r="BH693">
            <v>0</v>
          </cell>
          <cell r="BI693">
            <v>1</v>
          </cell>
        </row>
        <row r="694">
          <cell r="C694" t="str">
            <v>Đặng Thương Huyền</v>
          </cell>
          <cell r="D694">
            <v>1695</v>
          </cell>
          <cell r="AD694">
            <v>1</v>
          </cell>
          <cell r="AI694">
            <v>1</v>
          </cell>
          <cell r="AK694">
            <v>1</v>
          </cell>
          <cell r="AP694">
            <v>1</v>
          </cell>
          <cell r="AW694">
            <v>1</v>
          </cell>
          <cell r="AY694">
            <v>1</v>
          </cell>
          <cell r="BC694">
            <v>0</v>
          </cell>
          <cell r="BD694">
            <v>3</v>
          </cell>
          <cell r="BE694">
            <v>0</v>
          </cell>
          <cell r="BF694">
            <v>3</v>
          </cell>
          <cell r="BG694">
            <v>0</v>
          </cell>
          <cell r="BH694">
            <v>0</v>
          </cell>
          <cell r="BI694">
            <v>0</v>
          </cell>
        </row>
        <row r="695">
          <cell r="C695" t="str">
            <v>Lưu Thị Hồng</v>
          </cell>
          <cell r="D695">
            <v>1696</v>
          </cell>
          <cell r="AD695">
            <v>1</v>
          </cell>
          <cell r="AI695">
            <v>1</v>
          </cell>
          <cell r="AK695">
            <v>1</v>
          </cell>
          <cell r="AP695">
            <v>1</v>
          </cell>
          <cell r="AW695">
            <v>1</v>
          </cell>
          <cell r="AY695">
            <v>1</v>
          </cell>
          <cell r="BC695">
            <v>0</v>
          </cell>
          <cell r="BD695">
            <v>3</v>
          </cell>
          <cell r="BE695">
            <v>0</v>
          </cell>
          <cell r="BF695">
            <v>3</v>
          </cell>
          <cell r="BG695">
            <v>0</v>
          </cell>
          <cell r="BH695">
            <v>0</v>
          </cell>
          <cell r="BI695">
            <v>0</v>
          </cell>
        </row>
        <row r="696">
          <cell r="C696" t="str">
            <v>Phạm Việt Hà</v>
          </cell>
          <cell r="D696">
            <v>1697</v>
          </cell>
          <cell r="AD696">
            <v>1</v>
          </cell>
          <cell r="AI696">
            <v>1</v>
          </cell>
          <cell r="AK696">
            <v>1</v>
          </cell>
          <cell r="AP696">
            <v>1</v>
          </cell>
          <cell r="AW696">
            <v>1</v>
          </cell>
          <cell r="AY696">
            <v>1</v>
          </cell>
          <cell r="BC696">
            <v>0</v>
          </cell>
          <cell r="BD696">
            <v>3</v>
          </cell>
          <cell r="BE696">
            <v>0</v>
          </cell>
          <cell r="BF696">
            <v>3</v>
          </cell>
          <cell r="BG696">
            <v>0</v>
          </cell>
          <cell r="BH696">
            <v>0</v>
          </cell>
          <cell r="BI696">
            <v>0</v>
          </cell>
        </row>
        <row r="697">
          <cell r="C697" t="str">
            <v>Bùi Văn Ký</v>
          </cell>
          <cell r="D697">
            <v>1640</v>
          </cell>
          <cell r="G697">
            <v>1</v>
          </cell>
          <cell r="I697">
            <v>1</v>
          </cell>
          <cell r="N697">
            <v>1</v>
          </cell>
          <cell r="P697">
            <v>1</v>
          </cell>
          <cell r="U697">
            <v>1</v>
          </cell>
          <cell r="W697">
            <v>1</v>
          </cell>
          <cell r="AB697">
            <v>1</v>
          </cell>
          <cell r="AD697">
            <v>1</v>
          </cell>
          <cell r="AI697">
            <v>1</v>
          </cell>
          <cell r="AJ697">
            <v>1</v>
          </cell>
          <cell r="AP697">
            <v>1</v>
          </cell>
          <cell r="AW697">
            <v>1</v>
          </cell>
          <cell r="AY697">
            <v>1</v>
          </cell>
          <cell r="BC697">
            <v>0</v>
          </cell>
          <cell r="BD697">
            <v>6</v>
          </cell>
          <cell r="BE697">
            <v>1</v>
          </cell>
          <cell r="BF697">
            <v>4</v>
          </cell>
          <cell r="BG697">
            <v>0</v>
          </cell>
          <cell r="BH697">
            <v>0</v>
          </cell>
          <cell r="BI697">
            <v>0</v>
          </cell>
        </row>
        <row r="698">
          <cell r="C698" t="str">
            <v>Tạ Quang Bình</v>
          </cell>
          <cell r="D698">
            <v>1698</v>
          </cell>
          <cell r="E698" t="str">
            <v>Giám đốc, BTCB</v>
          </cell>
          <cell r="G698">
            <v>1</v>
          </cell>
          <cell r="H698">
            <v>1</v>
          </cell>
          <cell r="L698">
            <v>1</v>
          </cell>
          <cell r="N698">
            <v>1</v>
          </cell>
          <cell r="O698">
            <v>1</v>
          </cell>
          <cell r="S698">
            <v>1</v>
          </cell>
          <cell r="T698">
            <v>1</v>
          </cell>
          <cell r="U698">
            <v>1</v>
          </cell>
          <cell r="V698">
            <v>1</v>
          </cell>
          <cell r="Z698">
            <v>1</v>
          </cell>
          <cell r="AA698">
            <v>1</v>
          </cell>
          <cell r="AB698">
            <v>1</v>
          </cell>
          <cell r="AC698">
            <v>1</v>
          </cell>
          <cell r="AG698">
            <v>1</v>
          </cell>
          <cell r="AH698">
            <v>1</v>
          </cell>
          <cell r="AI698">
            <v>1</v>
          </cell>
          <cell r="AJ698">
            <v>1</v>
          </cell>
          <cell r="AN698">
            <v>1</v>
          </cell>
          <cell r="AP698">
            <v>1</v>
          </cell>
          <cell r="AQ698">
            <v>1</v>
          </cell>
          <cell r="AU698">
            <v>1</v>
          </cell>
          <cell r="AW698">
            <v>1</v>
          </cell>
          <cell r="AY698">
            <v>1</v>
          </cell>
          <cell r="BC698">
            <v>3</v>
          </cell>
          <cell r="BD698">
            <v>6</v>
          </cell>
          <cell r="BE698">
            <v>5</v>
          </cell>
          <cell r="BF698">
            <v>1</v>
          </cell>
          <cell r="BG698">
            <v>0</v>
          </cell>
          <cell r="BH698">
            <v>0</v>
          </cell>
          <cell r="BI698">
            <v>5</v>
          </cell>
        </row>
        <row r="699">
          <cell r="C699" t="str">
            <v>Vũ Xuân Thủy</v>
          </cell>
          <cell r="D699">
            <v>1699</v>
          </cell>
          <cell r="E699" t="str">
            <v>Phó Giám đốc</v>
          </cell>
          <cell r="G699">
            <v>1</v>
          </cell>
          <cell r="H699">
            <v>1</v>
          </cell>
          <cell r="L699">
            <v>1</v>
          </cell>
          <cell r="N699">
            <v>1</v>
          </cell>
          <cell r="O699">
            <v>1</v>
          </cell>
          <cell r="S699">
            <v>1</v>
          </cell>
          <cell r="U699">
            <v>1</v>
          </cell>
          <cell r="V699">
            <v>1</v>
          </cell>
          <cell r="Z699">
            <v>1</v>
          </cell>
          <cell r="AB699">
            <v>1</v>
          </cell>
          <cell r="AC699">
            <v>1</v>
          </cell>
          <cell r="AG699">
            <v>1</v>
          </cell>
          <cell r="AI699">
            <v>1</v>
          </cell>
          <cell r="AJ699">
            <v>1</v>
          </cell>
          <cell r="AN699">
            <v>1</v>
          </cell>
          <cell r="AO699">
            <v>1</v>
          </cell>
          <cell r="AP699">
            <v>1</v>
          </cell>
          <cell r="AQ699">
            <v>1</v>
          </cell>
          <cell r="AU699">
            <v>1</v>
          </cell>
          <cell r="AV699">
            <v>1</v>
          </cell>
          <cell r="AW699">
            <v>1</v>
          </cell>
          <cell r="AY699">
            <v>1</v>
          </cell>
          <cell r="BB699">
            <v>1</v>
          </cell>
          <cell r="BC699">
            <v>2</v>
          </cell>
          <cell r="BD699">
            <v>6</v>
          </cell>
          <cell r="BE699">
            <v>5</v>
          </cell>
          <cell r="BF699">
            <v>1</v>
          </cell>
          <cell r="BG699">
            <v>0</v>
          </cell>
          <cell r="BH699">
            <v>0</v>
          </cell>
          <cell r="BI699">
            <v>6</v>
          </cell>
        </row>
        <row r="700">
          <cell r="C700" t="str">
            <v>Hoàng Thu Ba</v>
          </cell>
          <cell r="D700">
            <v>1700</v>
          </cell>
          <cell r="E700" t="str">
            <v>Phó Giám đốc</v>
          </cell>
          <cell r="F700">
            <v>1</v>
          </cell>
          <cell r="G700">
            <v>1</v>
          </cell>
          <cell r="H700">
            <v>1</v>
          </cell>
          <cell r="L700">
            <v>1</v>
          </cell>
          <cell r="N700">
            <v>1</v>
          </cell>
          <cell r="P700">
            <v>1</v>
          </cell>
          <cell r="U700">
            <v>1</v>
          </cell>
          <cell r="V700">
            <v>1</v>
          </cell>
          <cell r="Z700">
            <v>1</v>
          </cell>
          <cell r="AB700">
            <v>1</v>
          </cell>
          <cell r="AC700">
            <v>1</v>
          </cell>
          <cell r="AG700">
            <v>1</v>
          </cell>
          <cell r="AI700">
            <v>1</v>
          </cell>
          <cell r="AJ700">
            <v>1</v>
          </cell>
          <cell r="AN700">
            <v>1</v>
          </cell>
          <cell r="AP700">
            <v>1</v>
          </cell>
          <cell r="AV700">
            <v>1</v>
          </cell>
          <cell r="AW700">
            <v>1</v>
          </cell>
          <cell r="AY700">
            <v>1</v>
          </cell>
          <cell r="BB700">
            <v>1</v>
          </cell>
          <cell r="BC700">
            <v>1</v>
          </cell>
          <cell r="BD700">
            <v>6</v>
          </cell>
          <cell r="BE700">
            <v>3</v>
          </cell>
          <cell r="BF700">
            <v>2</v>
          </cell>
          <cell r="BG700">
            <v>0</v>
          </cell>
          <cell r="BH700">
            <v>0</v>
          </cell>
          <cell r="BI700">
            <v>4</v>
          </cell>
        </row>
        <row r="701">
          <cell r="C701" t="str">
            <v>Vũ Tuấn Hiệp</v>
          </cell>
          <cell r="D701">
            <v>1701</v>
          </cell>
          <cell r="E701" t="str">
            <v>PBTCB</v>
          </cell>
          <cell r="G701">
            <v>1</v>
          </cell>
          <cell r="H701">
            <v>1</v>
          </cell>
          <cell r="L701">
            <v>1</v>
          </cell>
          <cell r="N701">
            <v>1</v>
          </cell>
          <cell r="O701">
            <v>1</v>
          </cell>
          <cell r="S701">
            <v>1</v>
          </cell>
          <cell r="U701">
            <v>1</v>
          </cell>
          <cell r="V701">
            <v>1</v>
          </cell>
          <cell r="Z701">
            <v>1</v>
          </cell>
          <cell r="AB701">
            <v>1</v>
          </cell>
          <cell r="AC701">
            <v>1</v>
          </cell>
          <cell r="AG701">
            <v>1</v>
          </cell>
          <cell r="AI701">
            <v>1</v>
          </cell>
          <cell r="AJ701">
            <v>1</v>
          </cell>
          <cell r="AN701">
            <v>1</v>
          </cell>
          <cell r="AP701">
            <v>1</v>
          </cell>
          <cell r="AQ701">
            <v>1</v>
          </cell>
          <cell r="AU701">
            <v>1</v>
          </cell>
          <cell r="AW701">
            <v>1</v>
          </cell>
          <cell r="AX701">
            <v>1</v>
          </cell>
          <cell r="BC701">
            <v>0</v>
          </cell>
          <cell r="BD701">
            <v>6</v>
          </cell>
          <cell r="BE701">
            <v>6</v>
          </cell>
          <cell r="BF701">
            <v>0</v>
          </cell>
          <cell r="BG701">
            <v>0</v>
          </cell>
          <cell r="BH701">
            <v>0</v>
          </cell>
          <cell r="BI701">
            <v>5</v>
          </cell>
        </row>
        <row r="702">
          <cell r="C702" t="str">
            <v>Đỗ Mạnh Tiến</v>
          </cell>
          <cell r="D702">
            <v>1702</v>
          </cell>
          <cell r="E702" t="str">
            <v>TTCĐ</v>
          </cell>
          <cell r="G702">
            <v>1</v>
          </cell>
          <cell r="I702">
            <v>1</v>
          </cell>
          <cell r="N702">
            <v>1</v>
          </cell>
          <cell r="P702">
            <v>1</v>
          </cell>
          <cell r="U702">
            <v>1</v>
          </cell>
          <cell r="V702">
            <v>1</v>
          </cell>
          <cell r="Z702">
            <v>1</v>
          </cell>
          <cell r="AB702">
            <v>1</v>
          </cell>
          <cell r="AC702">
            <v>1</v>
          </cell>
          <cell r="AG702">
            <v>1</v>
          </cell>
          <cell r="AI702">
            <v>1</v>
          </cell>
          <cell r="AJ702">
            <v>1</v>
          </cell>
          <cell r="AN702">
            <v>1</v>
          </cell>
          <cell r="AP702">
            <v>1</v>
          </cell>
          <cell r="AQ702">
            <v>1</v>
          </cell>
          <cell r="AU702">
            <v>1</v>
          </cell>
          <cell r="AW702">
            <v>1</v>
          </cell>
          <cell r="AY702">
            <v>1</v>
          </cell>
          <cell r="BC702">
            <v>0</v>
          </cell>
          <cell r="BD702">
            <v>6</v>
          </cell>
          <cell r="BE702">
            <v>4</v>
          </cell>
          <cell r="BF702">
            <v>2</v>
          </cell>
          <cell r="BG702">
            <v>0</v>
          </cell>
          <cell r="BH702">
            <v>0</v>
          </cell>
          <cell r="BI702">
            <v>4</v>
          </cell>
        </row>
        <row r="703">
          <cell r="C703" t="str">
            <v>Vũ Hải Tiến</v>
          </cell>
          <cell r="D703">
            <v>1704</v>
          </cell>
          <cell r="AP703">
            <v>1</v>
          </cell>
          <cell r="AW703">
            <v>1</v>
          </cell>
          <cell r="AY703">
            <v>1</v>
          </cell>
          <cell r="BC703">
            <v>0</v>
          </cell>
          <cell r="BD703">
            <v>2</v>
          </cell>
          <cell r="BE703">
            <v>0</v>
          </cell>
          <cell r="BF703">
            <v>1</v>
          </cell>
          <cell r="BG703">
            <v>0</v>
          </cell>
          <cell r="BH703">
            <v>0</v>
          </cell>
          <cell r="BI703">
            <v>0</v>
          </cell>
        </row>
        <row r="704">
          <cell r="C704" t="str">
            <v>Tạ Thị Diệu Linh</v>
          </cell>
          <cell r="D704">
            <v>1705</v>
          </cell>
          <cell r="AW704">
            <v>1</v>
          </cell>
          <cell r="AY704">
            <v>1</v>
          </cell>
          <cell r="BC704">
            <v>0</v>
          </cell>
          <cell r="BD704">
            <v>1</v>
          </cell>
          <cell r="BE704">
            <v>0</v>
          </cell>
          <cell r="BF704">
            <v>1</v>
          </cell>
          <cell r="BG704">
            <v>0</v>
          </cell>
          <cell r="BH704">
            <v>0</v>
          </cell>
          <cell r="BI704">
            <v>0</v>
          </cell>
        </row>
        <row r="705">
          <cell r="C705" t="str">
            <v>Nguyễn Thành Đô</v>
          </cell>
          <cell r="D705">
            <v>1766</v>
          </cell>
          <cell r="AW705">
            <v>1</v>
          </cell>
          <cell r="AY705">
            <v>1</v>
          </cell>
          <cell r="BC705">
            <v>0</v>
          </cell>
          <cell r="BD705">
            <v>1</v>
          </cell>
          <cell r="BE705">
            <v>0</v>
          </cell>
          <cell r="BF705">
            <v>1</v>
          </cell>
          <cell r="BG705">
            <v>0</v>
          </cell>
          <cell r="BH705">
            <v>0</v>
          </cell>
          <cell r="BI705">
            <v>0</v>
          </cell>
        </row>
        <row r="706">
          <cell r="C706" t="str">
            <v>Đỗ Thị Bình</v>
          </cell>
          <cell r="D706">
            <v>1706</v>
          </cell>
          <cell r="E706" t="str">
            <v>Giám đốc TTNC&amp;PTKHCN</v>
          </cell>
          <cell r="F706">
            <v>1</v>
          </cell>
          <cell r="G706">
            <v>1</v>
          </cell>
          <cell r="H706">
            <v>1</v>
          </cell>
          <cell r="L706">
            <v>1</v>
          </cell>
          <cell r="M706">
            <v>1</v>
          </cell>
          <cell r="N706">
            <v>1</v>
          </cell>
          <cell r="O706">
            <v>1</v>
          </cell>
          <cell r="S706">
            <v>1</v>
          </cell>
          <cell r="T706">
            <v>1</v>
          </cell>
          <cell r="U706">
            <v>1</v>
          </cell>
          <cell r="V706">
            <v>1</v>
          </cell>
          <cell r="Z706">
            <v>1</v>
          </cell>
          <cell r="AA706">
            <v>1</v>
          </cell>
          <cell r="AB706">
            <v>1</v>
          </cell>
          <cell r="AC706">
            <v>1</v>
          </cell>
          <cell r="AG706">
            <v>1</v>
          </cell>
          <cell r="AH706">
            <v>1</v>
          </cell>
          <cell r="AI706">
            <v>1</v>
          </cell>
          <cell r="AJ706">
            <v>1</v>
          </cell>
          <cell r="AN706">
            <v>1</v>
          </cell>
          <cell r="AP706">
            <v>1</v>
          </cell>
          <cell r="AV706">
            <v>1</v>
          </cell>
          <cell r="AW706">
            <v>1</v>
          </cell>
          <cell r="AY706">
            <v>1</v>
          </cell>
          <cell r="BB706">
            <v>1</v>
          </cell>
          <cell r="BC706">
            <v>5</v>
          </cell>
          <cell r="BD706">
            <v>6</v>
          </cell>
          <cell r="BE706">
            <v>4</v>
          </cell>
          <cell r="BF706">
            <v>1</v>
          </cell>
          <cell r="BG706">
            <v>0</v>
          </cell>
          <cell r="BH706">
            <v>0</v>
          </cell>
          <cell r="BI706">
            <v>5</v>
          </cell>
        </row>
        <row r="707">
          <cell r="C707" t="str">
            <v>Cù Nguyên Giáp</v>
          </cell>
          <cell r="D707">
            <v>1296</v>
          </cell>
          <cell r="E707" t="str">
            <v>Phó Giám đốc</v>
          </cell>
          <cell r="G707">
            <v>1</v>
          </cell>
          <cell r="H707">
            <v>1</v>
          </cell>
          <cell r="L707">
            <v>1</v>
          </cell>
          <cell r="N707">
            <v>1</v>
          </cell>
          <cell r="O707">
            <v>1</v>
          </cell>
          <cell r="S707">
            <v>1</v>
          </cell>
          <cell r="U707">
            <v>1</v>
          </cell>
          <cell r="V707">
            <v>1</v>
          </cell>
          <cell r="Z707">
            <v>1</v>
          </cell>
          <cell r="AB707">
            <v>1</v>
          </cell>
          <cell r="AC707">
            <v>1</v>
          </cell>
          <cell r="AG707">
            <v>1</v>
          </cell>
          <cell r="AI707">
            <v>1</v>
          </cell>
          <cell r="AJ707">
            <v>1</v>
          </cell>
          <cell r="AN707">
            <v>1</v>
          </cell>
          <cell r="AP707">
            <v>1</v>
          </cell>
          <cell r="AV707">
            <v>1</v>
          </cell>
          <cell r="AW707">
            <v>1</v>
          </cell>
          <cell r="AY707">
            <v>1</v>
          </cell>
          <cell r="BB707">
            <v>1</v>
          </cell>
          <cell r="BC707">
            <v>1</v>
          </cell>
          <cell r="BD707">
            <v>6</v>
          </cell>
          <cell r="BE707">
            <v>4</v>
          </cell>
          <cell r="BF707">
            <v>1</v>
          </cell>
          <cell r="BG707">
            <v>0</v>
          </cell>
          <cell r="BH707">
            <v>0</v>
          </cell>
          <cell r="BI707">
            <v>5</v>
          </cell>
        </row>
        <row r="708">
          <cell r="C708" t="str">
            <v>Đào Thế Sơn</v>
          </cell>
          <cell r="G708">
            <v>1</v>
          </cell>
          <cell r="N708">
            <v>1</v>
          </cell>
          <cell r="O708">
            <v>1</v>
          </cell>
          <cell r="S708">
            <v>1</v>
          </cell>
          <cell r="U708">
            <v>1</v>
          </cell>
          <cell r="V708">
            <v>1</v>
          </cell>
          <cell r="Z708">
            <v>1</v>
          </cell>
          <cell r="AB708">
            <v>1</v>
          </cell>
          <cell r="AC708">
            <v>1</v>
          </cell>
          <cell r="AG708">
            <v>1</v>
          </cell>
          <cell r="AI708">
            <v>1</v>
          </cell>
          <cell r="AJ708">
            <v>1</v>
          </cell>
          <cell r="AN708">
            <v>1</v>
          </cell>
          <cell r="AP708">
            <v>1</v>
          </cell>
          <cell r="AQ708">
            <v>1</v>
          </cell>
          <cell r="AU708">
            <v>1</v>
          </cell>
          <cell r="BC708">
            <v>0</v>
          </cell>
          <cell r="BD708">
            <v>5</v>
          </cell>
          <cell r="BE708">
            <v>5</v>
          </cell>
          <cell r="BF708">
            <v>0</v>
          </cell>
          <cell r="BG708">
            <v>0</v>
          </cell>
          <cell r="BH708">
            <v>0</v>
          </cell>
          <cell r="BI708">
            <v>5</v>
          </cell>
        </row>
        <row r="709">
          <cell r="C709" t="str">
            <v>Vũ Mạnh Chiến</v>
          </cell>
          <cell r="D709">
            <v>1708</v>
          </cell>
          <cell r="AP709">
            <v>1</v>
          </cell>
          <cell r="AW709">
            <v>1</v>
          </cell>
          <cell r="AY709">
            <v>1</v>
          </cell>
          <cell r="BC709">
            <v>0</v>
          </cell>
          <cell r="BD709">
            <v>2</v>
          </cell>
          <cell r="BE709">
            <v>0</v>
          </cell>
          <cell r="BF709">
            <v>1</v>
          </cell>
          <cell r="BG709">
            <v>0</v>
          </cell>
          <cell r="BH709">
            <v>0</v>
          </cell>
          <cell r="BI709">
            <v>0</v>
          </cell>
        </row>
        <row r="710">
          <cell r="C710" t="str">
            <v>Lê Thị Ngọc Quỳnh</v>
          </cell>
          <cell r="D710">
            <v>1709</v>
          </cell>
          <cell r="G710">
            <v>1</v>
          </cell>
          <cell r="I710">
            <v>1</v>
          </cell>
          <cell r="N710">
            <v>1</v>
          </cell>
          <cell r="P710">
            <v>1</v>
          </cell>
          <cell r="U710">
            <v>1</v>
          </cell>
          <cell r="W710">
            <v>1</v>
          </cell>
          <cell r="AB710">
            <v>1</v>
          </cell>
          <cell r="AD710">
            <v>1</v>
          </cell>
          <cell r="AL710">
            <v>1</v>
          </cell>
          <cell r="AP710">
            <v>1</v>
          </cell>
          <cell r="AW710">
            <v>1</v>
          </cell>
          <cell r="AY710">
            <v>1</v>
          </cell>
          <cell r="BC710">
            <v>0</v>
          </cell>
          <cell r="BD710">
            <v>5</v>
          </cell>
          <cell r="BE710">
            <v>0</v>
          </cell>
          <cell r="BF710">
            <v>4</v>
          </cell>
          <cell r="BG710">
            <v>1</v>
          </cell>
          <cell r="BH710">
            <v>0</v>
          </cell>
          <cell r="BI710">
            <v>0</v>
          </cell>
        </row>
        <row r="711">
          <cell r="C711" t="str">
            <v>Vương Thị Huệ</v>
          </cell>
          <cell r="D711">
            <v>1711</v>
          </cell>
          <cell r="G711">
            <v>1</v>
          </cell>
          <cell r="I711">
            <v>1</v>
          </cell>
          <cell r="N711">
            <v>1</v>
          </cell>
          <cell r="P711">
            <v>1</v>
          </cell>
          <cell r="U711">
            <v>1</v>
          </cell>
          <cell r="W711">
            <v>1</v>
          </cell>
          <cell r="AB711">
            <v>1</v>
          </cell>
          <cell r="AD711">
            <v>1</v>
          </cell>
          <cell r="AL711">
            <v>1</v>
          </cell>
          <cell r="AP711">
            <v>1</v>
          </cell>
          <cell r="AW711">
            <v>1</v>
          </cell>
          <cell r="AY711">
            <v>1</v>
          </cell>
          <cell r="BC711">
            <v>0</v>
          </cell>
          <cell r="BD711">
            <v>5</v>
          </cell>
          <cell r="BE711">
            <v>0</v>
          </cell>
          <cell r="BF711">
            <v>4</v>
          </cell>
          <cell r="BG711">
            <v>1</v>
          </cell>
          <cell r="BH711">
            <v>0</v>
          </cell>
          <cell r="BI711">
            <v>0</v>
          </cell>
        </row>
        <row r="712">
          <cell r="C712" t="str">
            <v>Phan Thanh Tú</v>
          </cell>
          <cell r="D712">
            <v>1712</v>
          </cell>
          <cell r="AP712">
            <v>1</v>
          </cell>
          <cell r="AQ712">
            <v>1</v>
          </cell>
          <cell r="AU712">
            <v>1</v>
          </cell>
          <cell r="AV712">
            <v>1</v>
          </cell>
          <cell r="AW712">
            <v>1</v>
          </cell>
          <cell r="AX712">
            <v>1</v>
          </cell>
          <cell r="BB712">
            <v>1</v>
          </cell>
          <cell r="BC712">
            <v>1</v>
          </cell>
          <cell r="BD712">
            <v>2</v>
          </cell>
          <cell r="BE712">
            <v>2</v>
          </cell>
          <cell r="BF712">
            <v>0</v>
          </cell>
          <cell r="BG712">
            <v>0</v>
          </cell>
          <cell r="BH712">
            <v>0</v>
          </cell>
          <cell r="BI712">
            <v>2</v>
          </cell>
        </row>
        <row r="713">
          <cell r="C713" t="str">
            <v>Nguyễn Thị Loan</v>
          </cell>
          <cell r="D713">
            <v>1713</v>
          </cell>
          <cell r="AP713">
            <v>1</v>
          </cell>
          <cell r="AQ713">
            <v>1</v>
          </cell>
          <cell r="AU713">
            <v>1</v>
          </cell>
          <cell r="AW713">
            <v>1</v>
          </cell>
          <cell r="AY713">
            <v>1</v>
          </cell>
          <cell r="BC713">
            <v>0</v>
          </cell>
          <cell r="BD713">
            <v>2</v>
          </cell>
          <cell r="BE713">
            <v>1</v>
          </cell>
          <cell r="BF713">
            <v>1</v>
          </cell>
          <cell r="BG713">
            <v>0</v>
          </cell>
          <cell r="BH713">
            <v>0</v>
          </cell>
          <cell r="BI713">
            <v>1</v>
          </cell>
        </row>
        <row r="714">
          <cell r="C714" t="str">
            <v>Nguyễn Thị Tuyết Mai</v>
          </cell>
          <cell r="D714">
            <v>1275</v>
          </cell>
          <cell r="J714">
            <v>1</v>
          </cell>
          <cell r="Q714">
            <v>1</v>
          </cell>
          <cell r="X714">
            <v>1</v>
          </cell>
          <cell r="AE714">
            <v>1</v>
          </cell>
          <cell r="AL714">
            <v>1</v>
          </cell>
          <cell r="AP714">
            <v>1</v>
          </cell>
          <cell r="AW714">
            <v>1</v>
          </cell>
          <cell r="AY714">
            <v>1</v>
          </cell>
          <cell r="BC714">
            <v>0</v>
          </cell>
          <cell r="BD714">
            <v>2</v>
          </cell>
          <cell r="BE714">
            <v>0</v>
          </cell>
          <cell r="BF714">
            <v>1</v>
          </cell>
          <cell r="BG714">
            <v>4</v>
          </cell>
          <cell r="BH714">
            <v>0</v>
          </cell>
          <cell r="BI714">
            <v>0</v>
          </cell>
        </row>
        <row r="715">
          <cell r="C715" t="str">
            <v>Nguyễn Hữu Thao</v>
          </cell>
          <cell r="D715">
            <v>1237</v>
          </cell>
          <cell r="AP715">
            <v>1</v>
          </cell>
          <cell r="AZ715">
            <v>1</v>
          </cell>
          <cell r="BC715">
            <v>0</v>
          </cell>
          <cell r="BD715">
            <v>1</v>
          </cell>
          <cell r="BE715">
            <v>0</v>
          </cell>
          <cell r="BF715">
            <v>0</v>
          </cell>
          <cell r="BG715">
            <v>1</v>
          </cell>
          <cell r="BH715">
            <v>0</v>
          </cell>
          <cell r="BI715">
            <v>0</v>
          </cell>
        </row>
        <row r="716">
          <cell r="C716" t="str">
            <v>Hoàng Xuân Trung</v>
          </cell>
          <cell r="D716">
            <v>1761</v>
          </cell>
          <cell r="AW716">
            <v>1</v>
          </cell>
          <cell r="AY716">
            <v>1</v>
          </cell>
          <cell r="BC716">
            <v>0</v>
          </cell>
          <cell r="BD716">
            <v>1</v>
          </cell>
          <cell r="BE716">
            <v>0</v>
          </cell>
          <cell r="BF716">
            <v>1</v>
          </cell>
          <cell r="BG716">
            <v>0</v>
          </cell>
          <cell r="BH716">
            <v>0</v>
          </cell>
          <cell r="BI716">
            <v>0</v>
          </cell>
        </row>
        <row r="717">
          <cell r="C717" t="str">
            <v>Nguyễn Minh Hằng</v>
          </cell>
          <cell r="D717">
            <v>1765</v>
          </cell>
          <cell r="AW717">
            <v>1</v>
          </cell>
          <cell r="AY717">
            <v>1</v>
          </cell>
          <cell r="BC717">
            <v>0</v>
          </cell>
          <cell r="BD717">
            <v>1</v>
          </cell>
          <cell r="BE717">
            <v>0</v>
          </cell>
          <cell r="BF717">
            <v>1</v>
          </cell>
          <cell r="BG717">
            <v>0</v>
          </cell>
          <cell r="BH717">
            <v>0</v>
          </cell>
          <cell r="BI717">
            <v>0</v>
          </cell>
        </row>
        <row r="718">
          <cell r="C718" t="str">
            <v>Lê Duy</v>
          </cell>
          <cell r="D718">
            <v>1769</v>
          </cell>
          <cell r="AW718">
            <v>1</v>
          </cell>
          <cell r="AY718">
            <v>1</v>
          </cell>
          <cell r="BC718">
            <v>0</v>
          </cell>
          <cell r="BD718">
            <v>1</v>
          </cell>
          <cell r="BE718">
            <v>0</v>
          </cell>
          <cell r="BF718">
            <v>1</v>
          </cell>
          <cell r="BG718">
            <v>0</v>
          </cell>
          <cell r="BH718">
            <v>0</v>
          </cell>
          <cell r="BI718">
            <v>0</v>
          </cell>
        </row>
        <row r="719">
          <cell r="C719" t="str">
            <v>Đỗ Hữu Nhuận</v>
          </cell>
          <cell r="D719">
            <v>1714</v>
          </cell>
          <cell r="E719" t="str">
            <v>Trưởng ban QL KNTSV, 
BTCB</v>
          </cell>
          <cell r="F719">
            <v>1</v>
          </cell>
          <cell r="G719">
            <v>1</v>
          </cell>
          <cell r="H719">
            <v>1</v>
          </cell>
          <cell r="L719">
            <v>1</v>
          </cell>
          <cell r="M719">
            <v>1</v>
          </cell>
          <cell r="N719">
            <v>1</v>
          </cell>
          <cell r="O719">
            <v>1</v>
          </cell>
          <cell r="S719">
            <v>1</v>
          </cell>
          <cell r="T719">
            <v>1</v>
          </cell>
          <cell r="U719">
            <v>1</v>
          </cell>
          <cell r="V719">
            <v>1</v>
          </cell>
          <cell r="Z719">
            <v>1</v>
          </cell>
          <cell r="AA719">
            <v>1</v>
          </cell>
          <cell r="AB719">
            <v>1</v>
          </cell>
          <cell r="AC719">
            <v>1</v>
          </cell>
          <cell r="AG719">
            <v>1</v>
          </cell>
          <cell r="AH719">
            <v>1</v>
          </cell>
          <cell r="AI719">
            <v>1</v>
          </cell>
          <cell r="AJ719">
            <v>1</v>
          </cell>
          <cell r="AN719">
            <v>1</v>
          </cell>
          <cell r="AP719">
            <v>1</v>
          </cell>
          <cell r="AV719">
            <v>1</v>
          </cell>
          <cell r="AW719">
            <v>1</v>
          </cell>
          <cell r="AY719">
            <v>1</v>
          </cell>
          <cell r="BB719">
            <v>1</v>
          </cell>
          <cell r="BC719">
            <v>4</v>
          </cell>
          <cell r="BD719">
            <v>5</v>
          </cell>
          <cell r="BE719">
            <v>3</v>
          </cell>
          <cell r="BF719">
            <v>1</v>
          </cell>
          <cell r="BG719">
            <v>0</v>
          </cell>
          <cell r="BH719">
            <v>0</v>
          </cell>
          <cell r="BI719">
            <v>4</v>
          </cell>
        </row>
        <row r="720">
          <cell r="C720" t="str">
            <v xml:space="preserve">Nguyễn Anh Tuấn </v>
          </cell>
          <cell r="D720">
            <v>1715</v>
          </cell>
          <cell r="G720">
            <v>1</v>
          </cell>
          <cell r="H720">
            <v>1</v>
          </cell>
          <cell r="L720">
            <v>1</v>
          </cell>
          <cell r="N720">
            <v>1</v>
          </cell>
          <cell r="O720">
            <v>1</v>
          </cell>
          <cell r="S720">
            <v>1</v>
          </cell>
          <cell r="U720">
            <v>1</v>
          </cell>
          <cell r="V720">
            <v>1</v>
          </cell>
          <cell r="Z720">
            <v>1</v>
          </cell>
          <cell r="AB720">
            <v>1</v>
          </cell>
          <cell r="AD720">
            <v>1</v>
          </cell>
          <cell r="AI720">
            <v>1</v>
          </cell>
          <cell r="AJ720">
            <v>1</v>
          </cell>
          <cell r="AN720">
            <v>1</v>
          </cell>
          <cell r="AP720">
            <v>1</v>
          </cell>
          <cell r="AW720">
            <v>1</v>
          </cell>
          <cell r="AY720">
            <v>1</v>
          </cell>
          <cell r="BC720">
            <v>0</v>
          </cell>
          <cell r="BD720">
            <v>6</v>
          </cell>
          <cell r="BE720">
            <v>3</v>
          </cell>
          <cell r="BF720">
            <v>2</v>
          </cell>
          <cell r="BG720">
            <v>0</v>
          </cell>
          <cell r="BH720">
            <v>0</v>
          </cell>
          <cell r="BI720">
            <v>3</v>
          </cell>
        </row>
        <row r="721">
          <cell r="C721" t="str">
            <v>Nguyễn Thị Xuân Nga</v>
          </cell>
          <cell r="D721">
            <v>1716</v>
          </cell>
          <cell r="E721" t="str">
            <v>TTCĐ</v>
          </cell>
          <cell r="G721">
            <v>1</v>
          </cell>
          <cell r="I721">
            <v>1</v>
          </cell>
          <cell r="N721">
            <v>1</v>
          </cell>
          <cell r="O721">
            <v>1</v>
          </cell>
          <cell r="S721">
            <v>1</v>
          </cell>
          <cell r="U721">
            <v>1</v>
          </cell>
          <cell r="V721">
            <v>1</v>
          </cell>
          <cell r="Z721">
            <v>1</v>
          </cell>
          <cell r="AB721">
            <v>1</v>
          </cell>
          <cell r="AC721">
            <v>1</v>
          </cell>
          <cell r="AG721">
            <v>1</v>
          </cell>
          <cell r="AI721">
            <v>1</v>
          </cell>
          <cell r="AJ721">
            <v>1</v>
          </cell>
          <cell r="AN721">
            <v>1</v>
          </cell>
          <cell r="AP721">
            <v>1</v>
          </cell>
          <cell r="AQ721">
            <v>1</v>
          </cell>
          <cell r="AU721">
            <v>1</v>
          </cell>
          <cell r="AW721">
            <v>1</v>
          </cell>
          <cell r="AX721">
            <v>1</v>
          </cell>
          <cell r="BC721">
            <v>0</v>
          </cell>
          <cell r="BD721">
            <v>6</v>
          </cell>
          <cell r="BE721">
            <v>6</v>
          </cell>
          <cell r="BF721">
            <v>0</v>
          </cell>
          <cell r="BG721">
            <v>0</v>
          </cell>
          <cell r="BH721">
            <v>0</v>
          </cell>
          <cell r="BI721">
            <v>5</v>
          </cell>
        </row>
        <row r="722">
          <cell r="C722" t="str">
            <v xml:space="preserve">Trương Thị Báu </v>
          </cell>
          <cell r="D722">
            <v>1717</v>
          </cell>
          <cell r="G722">
            <v>1</v>
          </cell>
          <cell r="I722">
            <v>1</v>
          </cell>
          <cell r="N722">
            <v>1</v>
          </cell>
          <cell r="P722">
            <v>1</v>
          </cell>
          <cell r="U722">
            <v>1</v>
          </cell>
          <cell r="W722">
            <v>1</v>
          </cell>
          <cell r="AB722">
            <v>1</v>
          </cell>
          <cell r="AD722">
            <v>1</v>
          </cell>
          <cell r="AI722">
            <v>1</v>
          </cell>
          <cell r="AK722">
            <v>1</v>
          </cell>
          <cell r="AP722">
            <v>1</v>
          </cell>
          <cell r="AW722">
            <v>1</v>
          </cell>
          <cell r="AY722">
            <v>1</v>
          </cell>
          <cell r="BC722">
            <v>0</v>
          </cell>
          <cell r="BD722">
            <v>6</v>
          </cell>
          <cell r="BE722">
            <v>0</v>
          </cell>
          <cell r="BF722">
            <v>5</v>
          </cell>
          <cell r="BG722">
            <v>0</v>
          </cell>
          <cell r="BH722">
            <v>0</v>
          </cell>
          <cell r="BI722">
            <v>0</v>
          </cell>
        </row>
        <row r="723">
          <cell r="C723" t="str">
            <v>Nguyễn Vũ Hưng</v>
          </cell>
          <cell r="D723">
            <v>1718</v>
          </cell>
          <cell r="G723">
            <v>1</v>
          </cell>
          <cell r="I723">
            <v>1</v>
          </cell>
          <cell r="N723">
            <v>1</v>
          </cell>
          <cell r="P723">
            <v>1</v>
          </cell>
          <cell r="U723">
            <v>1</v>
          </cell>
          <cell r="W723">
            <v>1</v>
          </cell>
          <cell r="AB723">
            <v>1</v>
          </cell>
          <cell r="AC723">
            <v>1</v>
          </cell>
          <cell r="AG723">
            <v>1</v>
          </cell>
          <cell r="AI723">
            <v>1</v>
          </cell>
          <cell r="AJ723">
            <v>1</v>
          </cell>
          <cell r="AN723">
            <v>1</v>
          </cell>
          <cell r="AP723">
            <v>1</v>
          </cell>
          <cell r="AQ723">
            <v>1</v>
          </cell>
          <cell r="AU723">
            <v>1</v>
          </cell>
          <cell r="AW723">
            <v>1</v>
          </cell>
          <cell r="AY723">
            <v>1</v>
          </cell>
          <cell r="BC723">
            <v>0</v>
          </cell>
          <cell r="BD723">
            <v>6</v>
          </cell>
          <cell r="BE723">
            <v>3</v>
          </cell>
          <cell r="BF723">
            <v>3</v>
          </cell>
          <cell r="BG723">
            <v>0</v>
          </cell>
          <cell r="BH723">
            <v>0</v>
          </cell>
          <cell r="BI723">
            <v>3</v>
          </cell>
        </row>
        <row r="724">
          <cell r="C724" t="str">
            <v>Hoàng Đình Long</v>
          </cell>
          <cell r="D724">
            <v>1719</v>
          </cell>
          <cell r="N724">
            <v>1</v>
          </cell>
          <cell r="P724">
            <v>1</v>
          </cell>
          <cell r="U724">
            <v>1</v>
          </cell>
          <cell r="W724">
            <v>1</v>
          </cell>
          <cell r="AB724">
            <v>1</v>
          </cell>
          <cell r="AD724">
            <v>1</v>
          </cell>
          <cell r="AI724">
            <v>1</v>
          </cell>
          <cell r="AK724">
            <v>1</v>
          </cell>
          <cell r="AW724">
            <v>1</v>
          </cell>
          <cell r="AY724">
            <v>1</v>
          </cell>
          <cell r="BC724">
            <v>0</v>
          </cell>
          <cell r="BD724">
            <v>5</v>
          </cell>
          <cell r="BE724">
            <v>0</v>
          </cell>
          <cell r="BF724">
            <v>5</v>
          </cell>
          <cell r="BG724">
            <v>0</v>
          </cell>
          <cell r="BH724">
            <v>0</v>
          </cell>
          <cell r="BI724">
            <v>0</v>
          </cell>
        </row>
        <row r="725">
          <cell r="C725" t="str">
            <v>Nguyễn Tuấn Anh</v>
          </cell>
          <cell r="D725">
            <v>1720</v>
          </cell>
          <cell r="U725">
            <v>1</v>
          </cell>
          <cell r="W725">
            <v>1</v>
          </cell>
          <cell r="AB725">
            <v>1</v>
          </cell>
          <cell r="AD725">
            <v>1</v>
          </cell>
          <cell r="AI725">
            <v>1</v>
          </cell>
          <cell r="AJ725">
            <v>1</v>
          </cell>
          <cell r="AN725">
            <v>1</v>
          </cell>
          <cell r="AP725">
            <v>1</v>
          </cell>
          <cell r="AQ725">
            <v>1</v>
          </cell>
          <cell r="AU725">
            <v>1</v>
          </cell>
          <cell r="AW725">
            <v>1</v>
          </cell>
          <cell r="AY725">
            <v>1</v>
          </cell>
          <cell r="BC725">
            <v>0</v>
          </cell>
          <cell r="BD725">
            <v>5</v>
          </cell>
          <cell r="BE725">
            <v>2</v>
          </cell>
          <cell r="BF725">
            <v>3</v>
          </cell>
          <cell r="BG725">
            <v>0</v>
          </cell>
          <cell r="BH725">
            <v>0</v>
          </cell>
          <cell r="BI725">
            <v>2</v>
          </cell>
        </row>
        <row r="726">
          <cell r="C726" t="str">
            <v>Đỗ Thị Minh Thúy</v>
          </cell>
          <cell r="D726">
            <v>1721</v>
          </cell>
          <cell r="AD726">
            <v>1</v>
          </cell>
          <cell r="AI726">
            <v>1</v>
          </cell>
          <cell r="AK726">
            <v>1</v>
          </cell>
          <cell r="AP726">
            <v>1</v>
          </cell>
          <cell r="AV726">
            <v>1</v>
          </cell>
          <cell r="AW726">
            <v>1</v>
          </cell>
          <cell r="AY726">
            <v>1</v>
          </cell>
          <cell r="BB726">
            <v>1</v>
          </cell>
          <cell r="BC726">
            <v>1</v>
          </cell>
          <cell r="BD726">
            <v>3</v>
          </cell>
          <cell r="BE726">
            <v>0</v>
          </cell>
          <cell r="BF726">
            <v>3</v>
          </cell>
          <cell r="BG726">
            <v>0</v>
          </cell>
          <cell r="BH726">
            <v>0</v>
          </cell>
          <cell r="BI726">
            <v>1</v>
          </cell>
        </row>
        <row r="727">
          <cell r="C727" t="str">
            <v>Nguyễn Thị Liên</v>
          </cell>
          <cell r="D727">
            <v>1722</v>
          </cell>
          <cell r="AL727">
            <v>1</v>
          </cell>
          <cell r="AP727">
            <v>1</v>
          </cell>
          <cell r="AW727">
            <v>1</v>
          </cell>
          <cell r="AY727">
            <v>1</v>
          </cell>
          <cell r="BC727">
            <v>0</v>
          </cell>
          <cell r="BD727">
            <v>2</v>
          </cell>
          <cell r="BE727">
            <v>0</v>
          </cell>
          <cell r="BF727">
            <v>1</v>
          </cell>
          <cell r="BG727">
            <v>1</v>
          </cell>
          <cell r="BH727">
            <v>0</v>
          </cell>
          <cell r="BI727">
            <v>0</v>
          </cell>
        </row>
        <row r="728">
          <cell r="C728" t="str">
            <v>Nguyễn Thị Hưởng</v>
          </cell>
          <cell r="D728">
            <v>1723</v>
          </cell>
          <cell r="E728" t="str">
            <v>Trạm trưởng Trạm Y Tế, 
PBTCB</v>
          </cell>
          <cell r="F728">
            <v>1</v>
          </cell>
          <cell r="G728">
            <v>1</v>
          </cell>
          <cell r="H728">
            <v>1</v>
          </cell>
          <cell r="L728">
            <v>1</v>
          </cell>
          <cell r="N728">
            <v>1</v>
          </cell>
          <cell r="O728">
            <v>1</v>
          </cell>
          <cell r="S728">
            <v>1</v>
          </cell>
          <cell r="T728">
            <v>1</v>
          </cell>
          <cell r="U728">
            <v>1</v>
          </cell>
          <cell r="V728">
            <v>1</v>
          </cell>
          <cell r="Z728">
            <v>1</v>
          </cell>
          <cell r="AA728">
            <v>1</v>
          </cell>
          <cell r="AB728">
            <v>1</v>
          </cell>
          <cell r="AC728">
            <v>1</v>
          </cell>
          <cell r="AG728">
            <v>1</v>
          </cell>
          <cell r="AH728">
            <v>1</v>
          </cell>
          <cell r="AI728">
            <v>1</v>
          </cell>
          <cell r="AJ728">
            <v>1</v>
          </cell>
          <cell r="AN728">
            <v>1</v>
          </cell>
          <cell r="AO728">
            <v>1</v>
          </cell>
          <cell r="AP728">
            <v>1</v>
          </cell>
          <cell r="AQ728">
            <v>1</v>
          </cell>
          <cell r="AU728">
            <v>1</v>
          </cell>
          <cell r="AV728">
            <v>1</v>
          </cell>
          <cell r="AW728">
            <v>1</v>
          </cell>
          <cell r="AY728">
            <v>1</v>
          </cell>
          <cell r="BC728">
            <v>5</v>
          </cell>
          <cell r="BD728">
            <v>5</v>
          </cell>
          <cell r="BE728">
            <v>4</v>
          </cell>
          <cell r="BF728">
            <v>1</v>
          </cell>
          <cell r="BG728">
            <v>0</v>
          </cell>
          <cell r="BH728">
            <v>0</v>
          </cell>
          <cell r="BI728">
            <v>4</v>
          </cell>
        </row>
        <row r="729">
          <cell r="C729" t="str">
            <v>Lương Thị Dịu</v>
          </cell>
          <cell r="D729">
            <v>1724</v>
          </cell>
          <cell r="G729">
            <v>1</v>
          </cell>
          <cell r="I729">
            <v>1</v>
          </cell>
          <cell r="M729">
            <v>1</v>
          </cell>
          <cell r="N729">
            <v>1</v>
          </cell>
          <cell r="O729">
            <v>1</v>
          </cell>
          <cell r="S729">
            <v>1</v>
          </cell>
          <cell r="U729">
            <v>1</v>
          </cell>
          <cell r="W729">
            <v>1</v>
          </cell>
          <cell r="AB729">
            <v>1</v>
          </cell>
          <cell r="AC729">
            <v>1</v>
          </cell>
          <cell r="AG729">
            <v>1</v>
          </cell>
          <cell r="AI729">
            <v>1</v>
          </cell>
          <cell r="AJ729">
            <v>1</v>
          </cell>
          <cell r="AN729">
            <v>1</v>
          </cell>
          <cell r="AP729">
            <v>1</v>
          </cell>
          <cell r="AQ729">
            <v>1</v>
          </cell>
          <cell r="AU729">
            <v>1</v>
          </cell>
          <cell r="AW729">
            <v>1</v>
          </cell>
          <cell r="AY729">
            <v>1</v>
          </cell>
          <cell r="BC729">
            <v>1</v>
          </cell>
          <cell r="BD729">
            <v>6</v>
          </cell>
          <cell r="BE729">
            <v>4</v>
          </cell>
          <cell r="BF729">
            <v>2</v>
          </cell>
          <cell r="BG729">
            <v>0</v>
          </cell>
          <cell r="BH729">
            <v>0</v>
          </cell>
          <cell r="BI729">
            <v>4</v>
          </cell>
        </row>
        <row r="730">
          <cell r="C730" t="str">
            <v>Nguyễn Thị Kim Thoa</v>
          </cell>
          <cell r="D730">
            <v>1725</v>
          </cell>
          <cell r="G730">
            <v>1</v>
          </cell>
          <cell r="I730">
            <v>1</v>
          </cell>
          <cell r="N730">
            <v>1</v>
          </cell>
          <cell r="P730">
            <v>1</v>
          </cell>
          <cell r="U730">
            <v>1</v>
          </cell>
          <cell r="W730">
            <v>1</v>
          </cell>
          <cell r="AB730">
            <v>1</v>
          </cell>
          <cell r="AC730">
            <v>1</v>
          </cell>
          <cell r="AG730">
            <v>1</v>
          </cell>
          <cell r="AI730">
            <v>1</v>
          </cell>
          <cell r="AJ730">
            <v>1</v>
          </cell>
          <cell r="AN730">
            <v>1</v>
          </cell>
          <cell r="AP730">
            <v>1</v>
          </cell>
          <cell r="AW730">
            <v>1</v>
          </cell>
          <cell r="AY730">
            <v>1</v>
          </cell>
          <cell r="BC730">
            <v>0</v>
          </cell>
          <cell r="BD730">
            <v>6</v>
          </cell>
          <cell r="BE730">
            <v>2</v>
          </cell>
          <cell r="BF730">
            <v>3</v>
          </cell>
          <cell r="BG730">
            <v>0</v>
          </cell>
          <cell r="BH730">
            <v>0</v>
          </cell>
          <cell r="BI730">
            <v>2</v>
          </cell>
        </row>
        <row r="731">
          <cell r="C731" t="str">
            <v>Nguyễn Lương Sỹ</v>
          </cell>
          <cell r="D731">
            <v>1726</v>
          </cell>
          <cell r="Q731">
            <v>1</v>
          </cell>
          <cell r="U731">
            <v>1</v>
          </cell>
          <cell r="W731">
            <v>1</v>
          </cell>
          <cell r="AB731">
            <v>1</v>
          </cell>
          <cell r="AC731">
            <v>1</v>
          </cell>
          <cell r="AG731">
            <v>1</v>
          </cell>
          <cell r="AI731">
            <v>1</v>
          </cell>
          <cell r="AJ731">
            <v>1</v>
          </cell>
          <cell r="AN731">
            <v>1</v>
          </cell>
          <cell r="AP731">
            <v>1</v>
          </cell>
          <cell r="AW731">
            <v>1</v>
          </cell>
          <cell r="AY731">
            <v>1</v>
          </cell>
          <cell r="BC731">
            <v>0</v>
          </cell>
          <cell r="BD731">
            <v>5</v>
          </cell>
          <cell r="BE731">
            <v>2</v>
          </cell>
          <cell r="BF731">
            <v>2</v>
          </cell>
          <cell r="BG731">
            <v>1</v>
          </cell>
          <cell r="BH731">
            <v>0</v>
          </cell>
          <cell r="BI731">
            <v>2</v>
          </cell>
        </row>
        <row r="732">
          <cell r="C732" t="str">
            <v>Trần Thị Hải Vân</v>
          </cell>
          <cell r="D732">
            <v>1727</v>
          </cell>
          <cell r="E732" t="str">
            <v>Phó GĐ CSHN, BTCB</v>
          </cell>
          <cell r="F732">
            <v>1</v>
          </cell>
          <cell r="G732">
            <v>1</v>
          </cell>
          <cell r="H732">
            <v>1</v>
          </cell>
          <cell r="L732">
            <v>1</v>
          </cell>
          <cell r="N732">
            <v>1</v>
          </cell>
          <cell r="O732">
            <v>1</v>
          </cell>
          <cell r="S732">
            <v>1</v>
          </cell>
          <cell r="U732">
            <v>1</v>
          </cell>
          <cell r="V732">
            <v>1</v>
          </cell>
          <cell r="Z732">
            <v>1</v>
          </cell>
          <cell r="AB732">
            <v>1</v>
          </cell>
          <cell r="AC732">
            <v>1</v>
          </cell>
          <cell r="AG732">
            <v>1</v>
          </cell>
          <cell r="AI732">
            <v>1</v>
          </cell>
          <cell r="AJ732">
            <v>1</v>
          </cell>
          <cell r="AN732">
            <v>1</v>
          </cell>
          <cell r="AP732">
            <v>1</v>
          </cell>
          <cell r="AW732">
            <v>1</v>
          </cell>
          <cell r="AY732">
            <v>1</v>
          </cell>
          <cell r="BC732">
            <v>0</v>
          </cell>
          <cell r="BD732">
            <v>6</v>
          </cell>
          <cell r="BE732">
            <v>4</v>
          </cell>
          <cell r="BF732">
            <v>1</v>
          </cell>
          <cell r="BG732">
            <v>0</v>
          </cell>
          <cell r="BH732">
            <v>0</v>
          </cell>
          <cell r="BI732">
            <v>4</v>
          </cell>
        </row>
        <row r="733">
          <cell r="C733" t="str">
            <v>Nguyễn Mạnh Tuấn</v>
          </cell>
          <cell r="D733">
            <v>1729</v>
          </cell>
          <cell r="E733" t="str">
            <v>Phó trưởng phòng cấu thành</v>
          </cell>
          <cell r="G733">
            <v>1</v>
          </cell>
          <cell r="I733">
            <v>1</v>
          </cell>
          <cell r="N733">
            <v>1</v>
          </cell>
          <cell r="P733">
            <v>1</v>
          </cell>
          <cell r="T733">
            <v>1</v>
          </cell>
          <cell r="U733">
            <v>1</v>
          </cell>
          <cell r="V733">
            <v>1</v>
          </cell>
          <cell r="Z733">
            <v>1</v>
          </cell>
          <cell r="AB733">
            <v>1</v>
          </cell>
          <cell r="AD733">
            <v>1</v>
          </cell>
          <cell r="AI733">
            <v>1</v>
          </cell>
          <cell r="AK733">
            <v>1</v>
          </cell>
          <cell r="AP733">
            <v>1</v>
          </cell>
          <cell r="AW733">
            <v>1</v>
          </cell>
          <cell r="AY733">
            <v>1</v>
          </cell>
          <cell r="BC733">
            <v>1</v>
          </cell>
          <cell r="BD733">
            <v>6</v>
          </cell>
          <cell r="BE733">
            <v>1</v>
          </cell>
          <cell r="BF733">
            <v>4</v>
          </cell>
          <cell r="BG733">
            <v>0</v>
          </cell>
          <cell r="BH733">
            <v>0</v>
          </cell>
          <cell r="BI733">
            <v>1</v>
          </cell>
        </row>
        <row r="734">
          <cell r="C734" t="str">
            <v>Trần Thị Thanh Hương</v>
          </cell>
          <cell r="D734">
            <v>1730</v>
          </cell>
          <cell r="G734">
            <v>1</v>
          </cell>
          <cell r="I734">
            <v>1</v>
          </cell>
          <cell r="N734">
            <v>1</v>
          </cell>
          <cell r="O734">
            <v>1</v>
          </cell>
          <cell r="S734">
            <v>1</v>
          </cell>
          <cell r="U734">
            <v>1</v>
          </cell>
          <cell r="W734">
            <v>1</v>
          </cell>
          <cell r="AB734">
            <v>1</v>
          </cell>
          <cell r="AC734">
            <v>1</v>
          </cell>
          <cell r="AG734">
            <v>1</v>
          </cell>
          <cell r="AI734">
            <v>1</v>
          </cell>
          <cell r="AJ734">
            <v>1</v>
          </cell>
          <cell r="AN734">
            <v>1</v>
          </cell>
          <cell r="AP734">
            <v>1</v>
          </cell>
          <cell r="AQ734">
            <v>1</v>
          </cell>
          <cell r="AU734">
            <v>1</v>
          </cell>
          <cell r="AW734">
            <v>1</v>
          </cell>
          <cell r="AY734">
            <v>1</v>
          </cell>
          <cell r="BC734">
            <v>0</v>
          </cell>
          <cell r="BD734">
            <v>6</v>
          </cell>
          <cell r="BE734">
            <v>4</v>
          </cell>
          <cell r="BF734">
            <v>2</v>
          </cell>
          <cell r="BG734">
            <v>0</v>
          </cell>
          <cell r="BH734">
            <v>0</v>
          </cell>
          <cell r="BI734">
            <v>4</v>
          </cell>
        </row>
        <row r="735">
          <cell r="C735" t="str">
            <v>Trần Ngọc Tú</v>
          </cell>
          <cell r="D735">
            <v>1731</v>
          </cell>
          <cell r="G735">
            <v>1</v>
          </cell>
          <cell r="I735">
            <v>1</v>
          </cell>
          <cell r="N735">
            <v>1</v>
          </cell>
          <cell r="P735">
            <v>1</v>
          </cell>
          <cell r="U735">
            <v>1</v>
          </cell>
          <cell r="W735">
            <v>1</v>
          </cell>
          <cell r="AB735">
            <v>1</v>
          </cell>
          <cell r="AC735">
            <v>1</v>
          </cell>
          <cell r="AG735">
            <v>1</v>
          </cell>
          <cell r="AI735">
            <v>1</v>
          </cell>
          <cell r="AJ735">
            <v>1</v>
          </cell>
          <cell r="AN735">
            <v>1</v>
          </cell>
          <cell r="AP735">
            <v>1</v>
          </cell>
          <cell r="AW735">
            <v>1</v>
          </cell>
          <cell r="AY735">
            <v>1</v>
          </cell>
          <cell r="BC735">
            <v>0</v>
          </cell>
          <cell r="BD735">
            <v>6</v>
          </cell>
          <cell r="BE735">
            <v>2</v>
          </cell>
          <cell r="BF735">
            <v>3</v>
          </cell>
          <cell r="BG735">
            <v>0</v>
          </cell>
          <cell r="BH735">
            <v>0</v>
          </cell>
          <cell r="BI735">
            <v>2</v>
          </cell>
        </row>
        <row r="736">
          <cell r="C736" t="str">
            <v>Nguyễn Thành Nhân</v>
          </cell>
          <cell r="D736">
            <v>1732</v>
          </cell>
          <cell r="E736" t="str">
            <v>Trưởng phòng cấu thành
, BTCB</v>
          </cell>
          <cell r="G736">
            <v>1</v>
          </cell>
          <cell r="I736">
            <v>1</v>
          </cell>
          <cell r="N736">
            <v>1</v>
          </cell>
          <cell r="P736">
            <v>1</v>
          </cell>
          <cell r="T736">
            <v>1</v>
          </cell>
          <cell r="U736">
            <v>1</v>
          </cell>
          <cell r="V736">
            <v>1</v>
          </cell>
          <cell r="Z736">
            <v>1</v>
          </cell>
          <cell r="AB736">
            <v>1</v>
          </cell>
          <cell r="AC736">
            <v>1</v>
          </cell>
          <cell r="AG736">
            <v>1</v>
          </cell>
          <cell r="AI736">
            <v>1</v>
          </cell>
          <cell r="AJ736">
            <v>1</v>
          </cell>
          <cell r="AN736">
            <v>1</v>
          </cell>
          <cell r="AP736">
            <v>1</v>
          </cell>
          <cell r="AW736">
            <v>1</v>
          </cell>
          <cell r="AY736">
            <v>1</v>
          </cell>
          <cell r="BC736">
            <v>1</v>
          </cell>
          <cell r="BD736">
            <v>6</v>
          </cell>
          <cell r="BE736">
            <v>3</v>
          </cell>
          <cell r="BF736">
            <v>2</v>
          </cell>
          <cell r="BG736">
            <v>0</v>
          </cell>
          <cell r="BH736">
            <v>0</v>
          </cell>
          <cell r="BI736">
            <v>3</v>
          </cell>
        </row>
        <row r="737">
          <cell r="C737" t="str">
            <v>Ngô Thị Quyên</v>
          </cell>
          <cell r="D737">
            <v>1733</v>
          </cell>
          <cell r="E737" t="str">
            <v>Phó trưởng phòng cấu thành</v>
          </cell>
          <cell r="G737">
            <v>1</v>
          </cell>
          <cell r="I737">
            <v>1</v>
          </cell>
          <cell r="N737">
            <v>1</v>
          </cell>
          <cell r="O737">
            <v>1</v>
          </cell>
          <cell r="S737">
            <v>1</v>
          </cell>
          <cell r="U737">
            <v>1</v>
          </cell>
          <cell r="V737">
            <v>1</v>
          </cell>
          <cell r="Z737">
            <v>1</v>
          </cell>
          <cell r="AB737">
            <v>1</v>
          </cell>
          <cell r="AC737">
            <v>1</v>
          </cell>
          <cell r="AG737">
            <v>1</v>
          </cell>
          <cell r="AI737">
            <v>1</v>
          </cell>
          <cell r="AJ737">
            <v>1</v>
          </cell>
          <cell r="AN737">
            <v>1</v>
          </cell>
          <cell r="AP737">
            <v>1</v>
          </cell>
          <cell r="AQ737">
            <v>1</v>
          </cell>
          <cell r="AU737">
            <v>1</v>
          </cell>
          <cell r="AW737">
            <v>1</v>
          </cell>
          <cell r="AY737">
            <v>1</v>
          </cell>
          <cell r="BC737">
            <v>0</v>
          </cell>
          <cell r="BD737">
            <v>6</v>
          </cell>
          <cell r="BE737">
            <v>5</v>
          </cell>
          <cell r="BF737">
            <v>1</v>
          </cell>
          <cell r="BG737">
            <v>0</v>
          </cell>
          <cell r="BH737">
            <v>0</v>
          </cell>
          <cell r="BI737">
            <v>5</v>
          </cell>
        </row>
        <row r="738">
          <cell r="C738" t="str">
            <v>Trần Thị Minh</v>
          </cell>
          <cell r="D738">
            <v>1734</v>
          </cell>
          <cell r="G738">
            <v>1</v>
          </cell>
          <cell r="I738">
            <v>1</v>
          </cell>
          <cell r="N738">
            <v>1</v>
          </cell>
          <cell r="P738">
            <v>1</v>
          </cell>
          <cell r="U738">
            <v>1</v>
          </cell>
          <cell r="V738">
            <v>1</v>
          </cell>
          <cell r="Z738">
            <v>1</v>
          </cell>
          <cell r="AB738">
            <v>1</v>
          </cell>
          <cell r="AC738">
            <v>1</v>
          </cell>
          <cell r="AG738">
            <v>1</v>
          </cell>
          <cell r="AI738">
            <v>1</v>
          </cell>
          <cell r="AJ738">
            <v>1</v>
          </cell>
          <cell r="AN738">
            <v>1</v>
          </cell>
          <cell r="AP738">
            <v>1</v>
          </cell>
          <cell r="AQ738">
            <v>1</v>
          </cell>
          <cell r="AU738">
            <v>1</v>
          </cell>
          <cell r="AW738">
            <v>1</v>
          </cell>
          <cell r="AY738">
            <v>1</v>
          </cell>
          <cell r="BC738">
            <v>0</v>
          </cell>
          <cell r="BD738">
            <v>6</v>
          </cell>
          <cell r="BE738">
            <v>4</v>
          </cell>
          <cell r="BF738">
            <v>2</v>
          </cell>
          <cell r="BG738">
            <v>0</v>
          </cell>
          <cell r="BH738">
            <v>0</v>
          </cell>
          <cell r="BI738">
            <v>4</v>
          </cell>
        </row>
        <row r="739">
          <cell r="C739" t="str">
            <v>Bùi Ngọc Tú</v>
          </cell>
          <cell r="D739">
            <v>1735</v>
          </cell>
          <cell r="E739" t="str">
            <v>CUV</v>
          </cell>
          <cell r="G739">
            <v>1</v>
          </cell>
          <cell r="I739">
            <v>1</v>
          </cell>
          <cell r="M739">
            <v>1</v>
          </cell>
          <cell r="N739">
            <v>1</v>
          </cell>
          <cell r="O739">
            <v>1</v>
          </cell>
          <cell r="S739">
            <v>1</v>
          </cell>
          <cell r="U739">
            <v>1</v>
          </cell>
          <cell r="V739">
            <v>1</v>
          </cell>
          <cell r="Z739">
            <v>1</v>
          </cell>
          <cell r="AB739">
            <v>1</v>
          </cell>
          <cell r="AC739">
            <v>1</v>
          </cell>
          <cell r="AG739">
            <v>1</v>
          </cell>
          <cell r="AI739">
            <v>1</v>
          </cell>
          <cell r="AJ739">
            <v>1</v>
          </cell>
          <cell r="AN739">
            <v>1</v>
          </cell>
          <cell r="AP739">
            <v>1</v>
          </cell>
          <cell r="AW739">
            <v>1</v>
          </cell>
          <cell r="AY739">
            <v>1</v>
          </cell>
          <cell r="BC739">
            <v>1</v>
          </cell>
          <cell r="BD739">
            <v>6</v>
          </cell>
          <cell r="BE739">
            <v>4</v>
          </cell>
          <cell r="BF739">
            <v>1</v>
          </cell>
          <cell r="BG739">
            <v>0</v>
          </cell>
          <cell r="BH739">
            <v>0</v>
          </cell>
          <cell r="BI739">
            <v>4</v>
          </cell>
        </row>
        <row r="740">
          <cell r="C740" t="str">
            <v>Chu Thị Minh Thảo</v>
          </cell>
          <cell r="D740">
            <v>1736</v>
          </cell>
          <cell r="G740">
            <v>1</v>
          </cell>
          <cell r="I740">
            <v>1</v>
          </cell>
          <cell r="N740">
            <v>1</v>
          </cell>
          <cell r="P740">
            <v>1</v>
          </cell>
          <cell r="X740">
            <v>1</v>
          </cell>
          <cell r="AB740">
            <v>1</v>
          </cell>
          <cell r="AD740">
            <v>1</v>
          </cell>
          <cell r="AI740">
            <v>1</v>
          </cell>
          <cell r="AK740">
            <v>1</v>
          </cell>
          <cell r="AP740">
            <v>1</v>
          </cell>
          <cell r="AW740">
            <v>1</v>
          </cell>
          <cell r="AY740">
            <v>1</v>
          </cell>
          <cell r="BC740">
            <v>0</v>
          </cell>
          <cell r="BD740">
            <v>5</v>
          </cell>
          <cell r="BE740">
            <v>0</v>
          </cell>
          <cell r="BF740">
            <v>4</v>
          </cell>
          <cell r="BG740">
            <v>1</v>
          </cell>
          <cell r="BH740">
            <v>0</v>
          </cell>
          <cell r="BI740">
            <v>0</v>
          </cell>
        </row>
        <row r="741">
          <cell r="C741" t="str">
            <v>Lê Thị Ngọc Hà</v>
          </cell>
          <cell r="D741">
            <v>1737</v>
          </cell>
          <cell r="G741">
            <v>1</v>
          </cell>
          <cell r="I741">
            <v>1</v>
          </cell>
          <cell r="N741">
            <v>1</v>
          </cell>
          <cell r="P741">
            <v>1</v>
          </cell>
          <cell r="U741">
            <v>1</v>
          </cell>
          <cell r="W741">
            <v>1</v>
          </cell>
          <cell r="AB741">
            <v>1</v>
          </cell>
          <cell r="AD741">
            <v>1</v>
          </cell>
          <cell r="AI741">
            <v>1</v>
          </cell>
          <cell r="AK741">
            <v>1</v>
          </cell>
          <cell r="AO741">
            <v>1</v>
          </cell>
          <cell r="AP741">
            <v>1</v>
          </cell>
          <cell r="AQ741">
            <v>1</v>
          </cell>
          <cell r="AU741">
            <v>1</v>
          </cell>
          <cell r="AW741">
            <v>1</v>
          </cell>
          <cell r="AY741">
            <v>1</v>
          </cell>
          <cell r="BC741">
            <v>1</v>
          </cell>
          <cell r="BD741">
            <v>6</v>
          </cell>
          <cell r="BE741">
            <v>1</v>
          </cell>
          <cell r="BF741">
            <v>5</v>
          </cell>
          <cell r="BG741">
            <v>0</v>
          </cell>
          <cell r="BH741">
            <v>0</v>
          </cell>
          <cell r="BI741">
            <v>1</v>
          </cell>
        </row>
        <row r="742">
          <cell r="C742" t="str">
            <v>Nguyễn Thị Lan</v>
          </cell>
          <cell r="D742">
            <v>1738</v>
          </cell>
          <cell r="G742">
            <v>1</v>
          </cell>
          <cell r="I742">
            <v>1</v>
          </cell>
          <cell r="N742">
            <v>1</v>
          </cell>
          <cell r="P742">
            <v>1</v>
          </cell>
          <cell r="U742">
            <v>1</v>
          </cell>
          <cell r="W742">
            <v>1</v>
          </cell>
          <cell r="AB742">
            <v>1</v>
          </cell>
          <cell r="AD742">
            <v>1</v>
          </cell>
          <cell r="AI742">
            <v>1</v>
          </cell>
          <cell r="AJ742">
            <v>1</v>
          </cell>
          <cell r="AN742">
            <v>1</v>
          </cell>
          <cell r="AP742">
            <v>1</v>
          </cell>
          <cell r="AQ742">
            <v>1</v>
          </cell>
          <cell r="AU742">
            <v>1</v>
          </cell>
          <cell r="AW742">
            <v>1</v>
          </cell>
          <cell r="AY742">
            <v>1</v>
          </cell>
          <cell r="BC742">
            <v>0</v>
          </cell>
          <cell r="BD742">
            <v>6</v>
          </cell>
          <cell r="BE742">
            <v>2</v>
          </cell>
          <cell r="BF742">
            <v>4</v>
          </cell>
          <cell r="BG742">
            <v>0</v>
          </cell>
          <cell r="BH742">
            <v>0</v>
          </cell>
          <cell r="BI742">
            <v>2</v>
          </cell>
        </row>
        <row r="743">
          <cell r="C743" t="str">
            <v>Đinh Quang Quảng</v>
          </cell>
          <cell r="D743">
            <v>1739</v>
          </cell>
          <cell r="E743" t="str">
            <v>CTCĐ</v>
          </cell>
          <cell r="G743">
            <v>1</v>
          </cell>
          <cell r="I743">
            <v>1</v>
          </cell>
          <cell r="N743">
            <v>1</v>
          </cell>
          <cell r="P743">
            <v>1</v>
          </cell>
          <cell r="T743">
            <v>1</v>
          </cell>
          <cell r="U743">
            <v>1</v>
          </cell>
          <cell r="V743">
            <v>1</v>
          </cell>
          <cell r="Z743">
            <v>1</v>
          </cell>
          <cell r="AA743">
            <v>1</v>
          </cell>
          <cell r="AB743">
            <v>1</v>
          </cell>
          <cell r="AC743">
            <v>1</v>
          </cell>
          <cell r="AG743">
            <v>1</v>
          </cell>
          <cell r="AI743">
            <v>1</v>
          </cell>
          <cell r="AK743">
            <v>1</v>
          </cell>
          <cell r="AP743">
            <v>1</v>
          </cell>
          <cell r="AQ743">
            <v>1</v>
          </cell>
          <cell r="AU743">
            <v>1</v>
          </cell>
          <cell r="AW743">
            <v>1</v>
          </cell>
          <cell r="AY743">
            <v>1</v>
          </cell>
          <cell r="BC743">
            <v>2</v>
          </cell>
          <cell r="BD743">
            <v>6</v>
          </cell>
          <cell r="BE743">
            <v>3</v>
          </cell>
          <cell r="BF743">
            <v>3</v>
          </cell>
          <cell r="BG743">
            <v>0</v>
          </cell>
          <cell r="BH743">
            <v>0</v>
          </cell>
          <cell r="BI743">
            <v>3</v>
          </cell>
        </row>
        <row r="744">
          <cell r="C744" t="str">
            <v>Lê Thị Hương</v>
          </cell>
          <cell r="D744">
            <v>1740</v>
          </cell>
          <cell r="G744">
            <v>1</v>
          </cell>
          <cell r="I744">
            <v>1</v>
          </cell>
          <cell r="N744">
            <v>1</v>
          </cell>
          <cell r="P744">
            <v>1</v>
          </cell>
          <cell r="U744">
            <v>1</v>
          </cell>
          <cell r="W744">
            <v>1</v>
          </cell>
          <cell r="AB744">
            <v>1</v>
          </cell>
          <cell r="AD744">
            <v>1</v>
          </cell>
          <cell r="AI744">
            <v>1</v>
          </cell>
          <cell r="AJ744">
            <v>1</v>
          </cell>
          <cell r="AN744">
            <v>1</v>
          </cell>
          <cell r="AO744">
            <v>1</v>
          </cell>
          <cell r="AP744">
            <v>1</v>
          </cell>
          <cell r="AQ744">
            <v>1</v>
          </cell>
          <cell r="AU744">
            <v>1</v>
          </cell>
          <cell r="AW744">
            <v>1</v>
          </cell>
          <cell r="AY744">
            <v>1</v>
          </cell>
          <cell r="BC744">
            <v>1</v>
          </cell>
          <cell r="BD744">
            <v>6</v>
          </cell>
          <cell r="BE744">
            <v>2</v>
          </cell>
          <cell r="BF744">
            <v>4</v>
          </cell>
          <cell r="BG744">
            <v>0</v>
          </cell>
          <cell r="BH744">
            <v>0</v>
          </cell>
          <cell r="BI744">
            <v>2</v>
          </cell>
        </row>
        <row r="745">
          <cell r="C745" t="str">
            <v>Đỗ Minh Thọ</v>
          </cell>
          <cell r="D745">
            <v>1742</v>
          </cell>
          <cell r="G745">
            <v>1</v>
          </cell>
          <cell r="I745">
            <v>1</v>
          </cell>
          <cell r="N745">
            <v>1</v>
          </cell>
          <cell r="P745">
            <v>1</v>
          </cell>
          <cell r="U745">
            <v>1</v>
          </cell>
          <cell r="W745">
            <v>1</v>
          </cell>
          <cell r="AB745">
            <v>1</v>
          </cell>
          <cell r="AD745">
            <v>1</v>
          </cell>
          <cell r="AI745">
            <v>1</v>
          </cell>
          <cell r="AJ745">
            <v>1</v>
          </cell>
          <cell r="AN745">
            <v>1</v>
          </cell>
          <cell r="AP745">
            <v>1</v>
          </cell>
          <cell r="AW745">
            <v>1</v>
          </cell>
          <cell r="AY745">
            <v>1</v>
          </cell>
          <cell r="BC745">
            <v>0</v>
          </cell>
          <cell r="BD745">
            <v>6</v>
          </cell>
          <cell r="BE745">
            <v>1</v>
          </cell>
          <cell r="BF745">
            <v>4</v>
          </cell>
          <cell r="BG745">
            <v>0</v>
          </cell>
          <cell r="BH745">
            <v>0</v>
          </cell>
          <cell r="BI745">
            <v>1</v>
          </cell>
        </row>
        <row r="746">
          <cell r="C746" t="str">
            <v>Nguyễn Văn Quỳnh</v>
          </cell>
          <cell r="D746">
            <v>1743</v>
          </cell>
          <cell r="G746">
            <v>1</v>
          </cell>
          <cell r="I746">
            <v>1</v>
          </cell>
          <cell r="N746">
            <v>1</v>
          </cell>
          <cell r="P746">
            <v>1</v>
          </cell>
          <cell r="U746">
            <v>1</v>
          </cell>
          <cell r="W746">
            <v>1</v>
          </cell>
          <cell r="AB746">
            <v>1</v>
          </cell>
          <cell r="AD746">
            <v>1</v>
          </cell>
          <cell r="AI746">
            <v>1</v>
          </cell>
          <cell r="AK746">
            <v>1</v>
          </cell>
          <cell r="AP746">
            <v>1</v>
          </cell>
          <cell r="AW746">
            <v>1</v>
          </cell>
          <cell r="AY746">
            <v>1</v>
          </cell>
          <cell r="BC746">
            <v>0</v>
          </cell>
          <cell r="BD746">
            <v>6</v>
          </cell>
          <cell r="BE746">
            <v>0</v>
          </cell>
          <cell r="BF746">
            <v>5</v>
          </cell>
          <cell r="BG746">
            <v>0</v>
          </cell>
          <cell r="BH746">
            <v>0</v>
          </cell>
          <cell r="BI746">
            <v>0</v>
          </cell>
        </row>
        <row r="747">
          <cell r="C747" t="str">
            <v>Nguyễn Văn Thanh</v>
          </cell>
          <cell r="D747">
            <v>1744</v>
          </cell>
          <cell r="G747">
            <v>1</v>
          </cell>
          <cell r="I747">
            <v>1</v>
          </cell>
          <cell r="N747">
            <v>1</v>
          </cell>
          <cell r="P747">
            <v>1</v>
          </cell>
          <cell r="U747">
            <v>1</v>
          </cell>
          <cell r="W747">
            <v>1</v>
          </cell>
          <cell r="AB747">
            <v>1</v>
          </cell>
          <cell r="AD747">
            <v>1</v>
          </cell>
          <cell r="AI747">
            <v>1</v>
          </cell>
          <cell r="AJ747">
            <v>1</v>
          </cell>
          <cell r="AN747">
            <v>1</v>
          </cell>
          <cell r="AP747">
            <v>1</v>
          </cell>
          <cell r="AW747">
            <v>1</v>
          </cell>
          <cell r="AY747">
            <v>1</v>
          </cell>
          <cell r="BC747">
            <v>0</v>
          </cell>
          <cell r="BD747">
            <v>6</v>
          </cell>
          <cell r="BE747">
            <v>1</v>
          </cell>
          <cell r="BF747">
            <v>4</v>
          </cell>
          <cell r="BG747">
            <v>0</v>
          </cell>
          <cell r="BH747">
            <v>0</v>
          </cell>
          <cell r="BI747">
            <v>1</v>
          </cell>
        </row>
        <row r="748">
          <cell r="C748" t="str">
            <v>Nguyễn Văn Thành</v>
          </cell>
          <cell r="D748">
            <v>1745</v>
          </cell>
          <cell r="G748">
            <v>1</v>
          </cell>
          <cell r="I748">
            <v>1</v>
          </cell>
          <cell r="N748">
            <v>1</v>
          </cell>
          <cell r="P748">
            <v>1</v>
          </cell>
          <cell r="U748">
            <v>1</v>
          </cell>
          <cell r="W748">
            <v>1</v>
          </cell>
          <cell r="AB748">
            <v>1</v>
          </cell>
          <cell r="AC748">
            <v>1</v>
          </cell>
          <cell r="AG748">
            <v>1</v>
          </cell>
          <cell r="AI748">
            <v>1</v>
          </cell>
          <cell r="AJ748">
            <v>1</v>
          </cell>
          <cell r="AN748">
            <v>1</v>
          </cell>
          <cell r="AO748">
            <v>1</v>
          </cell>
          <cell r="AP748">
            <v>1</v>
          </cell>
          <cell r="AQ748">
            <v>1</v>
          </cell>
          <cell r="AU748">
            <v>1</v>
          </cell>
          <cell r="AW748">
            <v>1</v>
          </cell>
          <cell r="AY748">
            <v>1</v>
          </cell>
          <cell r="BC748">
            <v>1</v>
          </cell>
          <cell r="BD748">
            <v>6</v>
          </cell>
          <cell r="BE748">
            <v>3</v>
          </cell>
          <cell r="BF748">
            <v>3</v>
          </cell>
          <cell r="BG748">
            <v>0</v>
          </cell>
          <cell r="BH748">
            <v>0</v>
          </cell>
          <cell r="BI748">
            <v>3</v>
          </cell>
        </row>
        <row r="749">
          <cell r="C749" t="str">
            <v>Vũ Văn Sơn</v>
          </cell>
          <cell r="D749">
            <v>1746</v>
          </cell>
          <cell r="G749">
            <v>1</v>
          </cell>
          <cell r="I749">
            <v>1</v>
          </cell>
          <cell r="N749">
            <v>1</v>
          </cell>
          <cell r="P749">
            <v>1</v>
          </cell>
          <cell r="T749">
            <v>1</v>
          </cell>
          <cell r="U749">
            <v>1</v>
          </cell>
          <cell r="V749">
            <v>1</v>
          </cell>
          <cell r="Z749">
            <v>1</v>
          </cell>
          <cell r="AB749">
            <v>1</v>
          </cell>
          <cell r="AD749">
            <v>1</v>
          </cell>
          <cell r="AI749">
            <v>1</v>
          </cell>
          <cell r="AK749">
            <v>1</v>
          </cell>
          <cell r="AP749">
            <v>1</v>
          </cell>
          <cell r="AW749">
            <v>1</v>
          </cell>
          <cell r="AY749">
            <v>1</v>
          </cell>
          <cell r="BC749">
            <v>1</v>
          </cell>
          <cell r="BD749">
            <v>6</v>
          </cell>
          <cell r="BE749">
            <v>1</v>
          </cell>
          <cell r="BF749">
            <v>4</v>
          </cell>
          <cell r="BG749">
            <v>0</v>
          </cell>
          <cell r="BH749">
            <v>0</v>
          </cell>
          <cell r="BI749">
            <v>1</v>
          </cell>
        </row>
        <row r="750">
          <cell r="C750" t="str">
            <v>Đinh Thị Thu Hương</v>
          </cell>
          <cell r="D750">
            <v>1747</v>
          </cell>
          <cell r="G750">
            <v>1</v>
          </cell>
          <cell r="I750">
            <v>1</v>
          </cell>
          <cell r="N750">
            <v>1</v>
          </cell>
          <cell r="P750">
            <v>1</v>
          </cell>
          <cell r="U750">
            <v>1</v>
          </cell>
          <cell r="W750">
            <v>1</v>
          </cell>
          <cell r="AA750">
            <v>1</v>
          </cell>
          <cell r="AB750">
            <v>1</v>
          </cell>
          <cell r="AC750">
            <v>1</v>
          </cell>
          <cell r="AG750">
            <v>1</v>
          </cell>
          <cell r="AI750">
            <v>1</v>
          </cell>
          <cell r="AJ750">
            <v>1</v>
          </cell>
          <cell r="AN750">
            <v>1</v>
          </cell>
          <cell r="AP750">
            <v>1</v>
          </cell>
          <cell r="AQ750">
            <v>1</v>
          </cell>
          <cell r="AU750">
            <v>1</v>
          </cell>
          <cell r="AW750">
            <v>1</v>
          </cell>
          <cell r="AY750">
            <v>1</v>
          </cell>
          <cell r="BC750">
            <v>1</v>
          </cell>
          <cell r="BD750">
            <v>6</v>
          </cell>
          <cell r="BE750">
            <v>3</v>
          </cell>
          <cell r="BF750">
            <v>3</v>
          </cell>
          <cell r="BG750">
            <v>0</v>
          </cell>
          <cell r="BH750">
            <v>0</v>
          </cell>
          <cell r="BI750">
            <v>3</v>
          </cell>
        </row>
        <row r="751">
          <cell r="C751" t="str">
            <v>Vũ Thị Hương Giang</v>
          </cell>
          <cell r="D751">
            <v>1748</v>
          </cell>
          <cell r="E751" t="str">
            <v>PBTCB</v>
          </cell>
          <cell r="G751">
            <v>1</v>
          </cell>
          <cell r="I751">
            <v>1</v>
          </cell>
          <cell r="M751">
            <v>1</v>
          </cell>
          <cell r="N751">
            <v>1</v>
          </cell>
          <cell r="O751">
            <v>1</v>
          </cell>
          <cell r="U751">
            <v>1</v>
          </cell>
          <cell r="W751">
            <v>1</v>
          </cell>
          <cell r="AB751">
            <v>1</v>
          </cell>
          <cell r="AC751">
            <v>1</v>
          </cell>
          <cell r="AG751">
            <v>1</v>
          </cell>
          <cell r="AI751">
            <v>1</v>
          </cell>
          <cell r="AJ751">
            <v>1</v>
          </cell>
          <cell r="AN751">
            <v>1</v>
          </cell>
          <cell r="AP751">
            <v>1</v>
          </cell>
          <cell r="AW751">
            <v>1</v>
          </cell>
          <cell r="AY751">
            <v>1</v>
          </cell>
          <cell r="BC751">
            <v>1</v>
          </cell>
          <cell r="BD751">
            <v>6</v>
          </cell>
          <cell r="BE751">
            <v>3</v>
          </cell>
          <cell r="BF751">
            <v>2</v>
          </cell>
          <cell r="BG751">
            <v>0</v>
          </cell>
          <cell r="BH751">
            <v>0</v>
          </cell>
          <cell r="BI751">
            <v>2</v>
          </cell>
        </row>
        <row r="752">
          <cell r="C752" t="str">
            <v>Nguyễn Thị Hồng Hạnh</v>
          </cell>
          <cell r="D752">
            <v>1749</v>
          </cell>
          <cell r="G752">
            <v>1</v>
          </cell>
          <cell r="I752">
            <v>1</v>
          </cell>
          <cell r="N752">
            <v>1</v>
          </cell>
          <cell r="P752">
            <v>1</v>
          </cell>
          <cell r="U752">
            <v>1</v>
          </cell>
          <cell r="W752">
            <v>1</v>
          </cell>
          <cell r="AB752">
            <v>1</v>
          </cell>
          <cell r="AD752">
            <v>1</v>
          </cell>
          <cell r="AI752">
            <v>1</v>
          </cell>
          <cell r="AK752">
            <v>1</v>
          </cell>
          <cell r="AP752">
            <v>1</v>
          </cell>
          <cell r="AW752">
            <v>1</v>
          </cell>
          <cell r="AY752">
            <v>1</v>
          </cell>
          <cell r="BC752">
            <v>0</v>
          </cell>
          <cell r="BD752">
            <v>6</v>
          </cell>
          <cell r="BE752">
            <v>0</v>
          </cell>
          <cell r="BF752">
            <v>5</v>
          </cell>
          <cell r="BG752">
            <v>0</v>
          </cell>
          <cell r="BH752">
            <v>0</v>
          </cell>
          <cell r="BI752">
            <v>0</v>
          </cell>
        </row>
        <row r="753">
          <cell r="C753" t="str">
            <v>Đinh Đức An</v>
          </cell>
          <cell r="D753">
            <v>1750</v>
          </cell>
          <cell r="G753">
            <v>1</v>
          </cell>
          <cell r="I753">
            <v>1</v>
          </cell>
          <cell r="N753">
            <v>1</v>
          </cell>
          <cell r="P753">
            <v>1</v>
          </cell>
          <cell r="U753">
            <v>1</v>
          </cell>
          <cell r="W753">
            <v>1</v>
          </cell>
          <cell r="AB753">
            <v>1</v>
          </cell>
          <cell r="AD753">
            <v>1</v>
          </cell>
          <cell r="AI753">
            <v>1</v>
          </cell>
          <cell r="AK753">
            <v>1</v>
          </cell>
          <cell r="AP753">
            <v>1</v>
          </cell>
          <cell r="AW753">
            <v>1</v>
          </cell>
          <cell r="AY753">
            <v>1</v>
          </cell>
          <cell r="BC753">
            <v>0</v>
          </cell>
          <cell r="BD753">
            <v>6</v>
          </cell>
          <cell r="BE753">
            <v>0</v>
          </cell>
          <cell r="BF753">
            <v>5</v>
          </cell>
          <cell r="BG753">
            <v>0</v>
          </cell>
          <cell r="BH753">
            <v>0</v>
          </cell>
          <cell r="BI753">
            <v>0</v>
          </cell>
        </row>
      </sheetData>
      <sheetData sheetId="1">
        <row r="5">
          <cell r="E5">
            <v>1001</v>
          </cell>
          <cell r="F5" t="str">
            <v>CT HĐT, BTĐU</v>
          </cell>
          <cell r="CE5">
            <v>1</v>
          </cell>
          <cell r="CX5">
            <v>1</v>
          </cell>
          <cell r="DI5">
            <v>1</v>
          </cell>
          <cell r="DP5">
            <v>1</v>
          </cell>
          <cell r="EH5">
            <v>1</v>
          </cell>
          <cell r="FJ5">
            <v>1</v>
          </cell>
          <cell r="FO5">
            <v>1</v>
          </cell>
          <cell r="GX5">
            <v>1</v>
          </cell>
        </row>
        <row r="6">
          <cell r="E6">
            <v>1002</v>
          </cell>
          <cell r="F6" t="str">
            <v>Hiệu trưởng, PBTĐU</v>
          </cell>
          <cell r="DG6">
            <v>1</v>
          </cell>
          <cell r="DY6">
            <v>1</v>
          </cell>
          <cell r="EQ6">
            <v>1</v>
          </cell>
          <cell r="FC6">
            <v>1</v>
          </cell>
          <cell r="FF6">
            <v>1</v>
          </cell>
          <cell r="FJ6">
            <v>1</v>
          </cell>
          <cell r="FT6">
            <v>1</v>
          </cell>
          <cell r="GK6">
            <v>1</v>
          </cell>
          <cell r="GO6">
            <v>1</v>
          </cell>
        </row>
        <row r="7">
          <cell r="E7">
            <v>1004</v>
          </cell>
          <cell r="F7" t="str">
            <v>Phó Hiệu trưởng</v>
          </cell>
          <cell r="CN7">
            <v>1</v>
          </cell>
          <cell r="DG7">
            <v>1</v>
          </cell>
          <cell r="DU7">
            <v>1</v>
          </cell>
          <cell r="DY7">
            <v>1</v>
          </cell>
          <cell r="FC7">
            <v>1</v>
          </cell>
          <cell r="GA7">
            <v>1</v>
          </cell>
        </row>
        <row r="8">
          <cell r="E8">
            <v>1597</v>
          </cell>
          <cell r="F8" t="str">
            <v>Phó Hiệu trưởng</v>
          </cell>
          <cell r="AL8">
            <v>1</v>
          </cell>
          <cell r="BM8">
            <v>1</v>
          </cell>
          <cell r="CN8">
            <v>1</v>
          </cell>
          <cell r="DG8">
            <v>1</v>
          </cell>
          <cell r="DR8">
            <v>1</v>
          </cell>
          <cell r="FA8">
            <v>1</v>
          </cell>
        </row>
        <row r="9">
          <cell r="E9">
            <v>1005</v>
          </cell>
          <cell r="F9" t="str">
            <v>Phó Hiệu trưởng</v>
          </cell>
          <cell r="CN9">
            <v>1</v>
          </cell>
          <cell r="DG9">
            <v>1</v>
          </cell>
          <cell r="DR9">
            <v>1</v>
          </cell>
          <cell r="DY9">
            <v>1</v>
          </cell>
          <cell r="EQ9">
            <v>1</v>
          </cell>
          <cell r="EW9">
            <v>1</v>
          </cell>
          <cell r="FI9">
            <v>1</v>
          </cell>
          <cell r="FR9">
            <v>1</v>
          </cell>
          <cell r="GA9">
            <v>1</v>
          </cell>
          <cell r="GE9">
            <v>1</v>
          </cell>
          <cell r="GR9">
            <v>1</v>
          </cell>
        </row>
        <row r="10">
          <cell r="E10">
            <v>1006</v>
          </cell>
          <cell r="F10" t="str">
            <v>Viện Trưởng, BTCB</v>
          </cell>
          <cell r="EH10">
            <v>1</v>
          </cell>
          <cell r="HL10">
            <v>1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1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</row>
        <row r="11">
          <cell r="E11">
            <v>1007</v>
          </cell>
        </row>
        <row r="12">
          <cell r="E12">
            <v>1008</v>
          </cell>
          <cell r="F12" t="str">
            <v>Trưởng bộ môn</v>
          </cell>
        </row>
        <row r="13">
          <cell r="E13">
            <v>1009</v>
          </cell>
        </row>
        <row r="14">
          <cell r="E14">
            <v>1012</v>
          </cell>
          <cell r="F14" t="str">
            <v>BTCĐ</v>
          </cell>
        </row>
        <row r="15">
          <cell r="E15">
            <v>1013</v>
          </cell>
        </row>
        <row r="16">
          <cell r="E16">
            <v>1014</v>
          </cell>
          <cell r="HZ16">
            <v>1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1</v>
          </cell>
          <cell r="IS16">
            <v>0</v>
          </cell>
        </row>
        <row r="17">
          <cell r="E17">
            <v>1015</v>
          </cell>
        </row>
        <row r="18">
          <cell r="E18">
            <v>1017</v>
          </cell>
          <cell r="F18" t="str">
            <v>Phó Trưởng bộ môn</v>
          </cell>
        </row>
        <row r="19">
          <cell r="E19">
            <v>1021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</row>
        <row r="20">
          <cell r="E20">
            <v>1010</v>
          </cell>
        </row>
        <row r="21">
          <cell r="E21">
            <v>1011</v>
          </cell>
        </row>
        <row r="22">
          <cell r="E22">
            <v>1016</v>
          </cell>
        </row>
        <row r="23">
          <cell r="E23">
            <v>1018</v>
          </cell>
          <cell r="FU23">
            <v>1</v>
          </cell>
        </row>
        <row r="24">
          <cell r="E24">
            <v>1003</v>
          </cell>
          <cell r="CE24">
            <v>1</v>
          </cell>
          <cell r="CS24">
            <v>1</v>
          </cell>
          <cell r="CW24">
            <v>1</v>
          </cell>
          <cell r="DP24">
            <v>1</v>
          </cell>
          <cell r="DU24">
            <v>1</v>
          </cell>
          <cell r="DX24">
            <v>1</v>
          </cell>
          <cell r="EH24">
            <v>1</v>
          </cell>
          <cell r="EK24">
            <v>1</v>
          </cell>
          <cell r="FF24">
            <v>1</v>
          </cell>
          <cell r="FJ24">
            <v>1</v>
          </cell>
          <cell r="GK24">
            <v>1</v>
          </cell>
          <cell r="GO24">
            <v>1</v>
          </cell>
          <cell r="HE24" t="str">
            <v>1 Hạng Nhì</v>
          </cell>
          <cell r="HR24">
            <v>1</v>
          </cell>
          <cell r="HT24">
            <v>1</v>
          </cell>
        </row>
        <row r="25">
          <cell r="E25">
            <v>1022</v>
          </cell>
        </row>
        <row r="26">
          <cell r="E26">
            <v>1025</v>
          </cell>
          <cell r="F26" t="str">
            <v>Trưởng bộ môn</v>
          </cell>
        </row>
        <row r="27">
          <cell r="E27">
            <v>1043</v>
          </cell>
          <cell r="F27" t="str">
            <v>Phó Trưởng bộ môn</v>
          </cell>
        </row>
        <row r="28">
          <cell r="E28">
            <v>1028</v>
          </cell>
          <cell r="FU28">
            <v>1</v>
          </cell>
        </row>
        <row r="29">
          <cell r="E29">
            <v>1024</v>
          </cell>
        </row>
        <row r="30">
          <cell r="E30">
            <v>1032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</row>
        <row r="31">
          <cell r="E31">
            <v>1030</v>
          </cell>
          <cell r="HV31">
            <v>1</v>
          </cell>
        </row>
        <row r="32">
          <cell r="E32">
            <v>1019</v>
          </cell>
        </row>
        <row r="33">
          <cell r="E33">
            <v>1020</v>
          </cell>
          <cell r="IJ33">
            <v>0</v>
          </cell>
          <cell r="IK33">
            <v>0</v>
          </cell>
          <cell r="IL33">
            <v>0</v>
          </cell>
          <cell r="IM33">
            <v>0</v>
          </cell>
          <cell r="IN33">
            <v>0</v>
          </cell>
          <cell r="IO33">
            <v>0</v>
          </cell>
          <cell r="IP33">
            <v>0</v>
          </cell>
          <cell r="IQ33">
            <v>0</v>
          </cell>
          <cell r="IR33">
            <v>0</v>
          </cell>
          <cell r="IS33">
            <v>0</v>
          </cell>
        </row>
        <row r="34">
          <cell r="E34">
            <v>1023</v>
          </cell>
          <cell r="F34" t="str">
            <v>Trưởng bộ môn, 
PBTCB</v>
          </cell>
        </row>
        <row r="35">
          <cell r="E35">
            <v>1029</v>
          </cell>
          <cell r="F35" t="str">
            <v>Phó Trưởng bộ môn</v>
          </cell>
        </row>
        <row r="36">
          <cell r="E36">
            <v>1026</v>
          </cell>
        </row>
        <row r="37">
          <cell r="E37">
            <v>1027</v>
          </cell>
        </row>
        <row r="38">
          <cell r="E38">
            <v>1031</v>
          </cell>
        </row>
        <row r="39">
          <cell r="E39">
            <v>1033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</row>
        <row r="40">
          <cell r="E40">
            <v>1751</v>
          </cell>
        </row>
        <row r="41">
          <cell r="E41">
            <v>1034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</row>
        <row r="42">
          <cell r="E42">
            <v>1759</v>
          </cell>
        </row>
        <row r="43">
          <cell r="E43">
            <v>1035</v>
          </cell>
          <cell r="F43" t="str">
            <v>Phó Viện Trưởng, CUV</v>
          </cell>
          <cell r="GY43">
            <v>1</v>
          </cell>
        </row>
        <row r="44">
          <cell r="E44">
            <v>1036</v>
          </cell>
          <cell r="F44" t="str">
            <v>Trưởng bộ môn</v>
          </cell>
          <cell r="HL44">
            <v>1</v>
          </cell>
        </row>
        <row r="45">
          <cell r="E45">
            <v>1037</v>
          </cell>
          <cell r="F45" t="str">
            <v>Phó Trưởng bộ môn</v>
          </cell>
          <cell r="HL45">
            <v>1</v>
          </cell>
        </row>
        <row r="46">
          <cell r="E46">
            <v>1038</v>
          </cell>
          <cell r="F46" t="str">
            <v>CTCĐ</v>
          </cell>
          <cell r="GY46">
            <v>1</v>
          </cell>
        </row>
        <row r="47">
          <cell r="E47">
            <v>1039</v>
          </cell>
          <cell r="HL47">
            <v>1</v>
          </cell>
        </row>
        <row r="48">
          <cell r="E48">
            <v>1040</v>
          </cell>
          <cell r="GY48">
            <v>1</v>
          </cell>
        </row>
        <row r="49">
          <cell r="E49">
            <v>1041</v>
          </cell>
        </row>
        <row r="50">
          <cell r="E50">
            <v>1044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</row>
        <row r="52">
          <cell r="E52">
            <v>1569</v>
          </cell>
          <cell r="F52" t="str">
            <v>Trưởng khoa, CTCĐT</v>
          </cell>
          <cell r="CW52">
            <v>1</v>
          </cell>
          <cell r="DP52">
            <v>1</v>
          </cell>
          <cell r="ED52">
            <v>1</v>
          </cell>
          <cell r="EQ52">
            <v>1</v>
          </cell>
          <cell r="FL52">
            <v>1</v>
          </cell>
          <cell r="GA52">
            <v>1</v>
          </cell>
          <cell r="GE52">
            <v>1</v>
          </cell>
          <cell r="HU52">
            <v>1</v>
          </cell>
        </row>
        <row r="53">
          <cell r="E53">
            <v>1060</v>
          </cell>
          <cell r="F53" t="str">
            <v>Trưởng bộ môn</v>
          </cell>
          <cell r="HL53">
            <v>1</v>
          </cell>
        </row>
        <row r="54">
          <cell r="E54">
            <v>1061</v>
          </cell>
        </row>
        <row r="55">
          <cell r="E55">
            <v>1062</v>
          </cell>
        </row>
        <row r="56">
          <cell r="E56">
            <v>1063</v>
          </cell>
          <cell r="F56" t="str">
            <v>Phó Trưởng bộ môn,
 CUV</v>
          </cell>
        </row>
        <row r="57">
          <cell r="E57">
            <v>1064</v>
          </cell>
          <cell r="F57" t="str">
            <v>CTCĐ</v>
          </cell>
        </row>
        <row r="58">
          <cell r="E58">
            <v>1065</v>
          </cell>
          <cell r="F58" t="str">
            <v>BTCĐ</v>
          </cell>
        </row>
        <row r="59">
          <cell r="E59">
            <v>1066</v>
          </cell>
        </row>
        <row r="60">
          <cell r="E60">
            <v>1067</v>
          </cell>
        </row>
        <row r="61">
          <cell r="E61">
            <v>1053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</row>
        <row r="62">
          <cell r="F62" t="str">
            <v>chờ hưu tháng 11/2023</v>
          </cell>
          <cell r="FA62">
            <v>1</v>
          </cell>
          <cell r="FO62">
            <v>1</v>
          </cell>
        </row>
        <row r="63">
          <cell r="BX63">
            <v>1</v>
          </cell>
          <cell r="CE63">
            <v>1</v>
          </cell>
          <cell r="CJ63">
            <v>1</v>
          </cell>
          <cell r="CM63">
            <v>1</v>
          </cell>
          <cell r="CY63">
            <v>1</v>
          </cell>
          <cell r="DA63">
            <v>1</v>
          </cell>
          <cell r="DG63">
            <v>1</v>
          </cell>
          <cell r="DL63">
            <v>1</v>
          </cell>
          <cell r="EJ63">
            <v>1</v>
          </cell>
          <cell r="EQ63">
            <v>1</v>
          </cell>
          <cell r="ER63">
            <v>1</v>
          </cell>
          <cell r="ES63">
            <v>1</v>
          </cell>
          <cell r="FF63">
            <v>1</v>
          </cell>
          <cell r="FJ63">
            <v>1</v>
          </cell>
        </row>
        <row r="64">
          <cell r="E64">
            <v>1046</v>
          </cell>
          <cell r="F64" t="str">
            <v>Trưởng bộ môn,
 BTCB (đang đi học)</v>
          </cell>
        </row>
        <row r="65">
          <cell r="E65">
            <v>1047</v>
          </cell>
          <cell r="F65" t="str">
            <v>Phó Trưởng bộ môn 
THNV Trưởng BM  từ 5/9</v>
          </cell>
        </row>
        <row r="66">
          <cell r="E66">
            <v>1045</v>
          </cell>
          <cell r="CN66">
            <v>1</v>
          </cell>
          <cell r="DP66">
            <v>1</v>
          </cell>
          <cell r="EQ66">
            <v>1</v>
          </cell>
          <cell r="FC66">
            <v>1</v>
          </cell>
          <cell r="GA66">
            <v>1</v>
          </cell>
          <cell r="GX66">
            <v>1</v>
          </cell>
          <cell r="GZ66">
            <v>1</v>
          </cell>
        </row>
        <row r="67">
          <cell r="E67">
            <v>1048</v>
          </cell>
        </row>
        <row r="68">
          <cell r="E68">
            <v>1050</v>
          </cell>
        </row>
        <row r="69">
          <cell r="E69">
            <v>1051</v>
          </cell>
        </row>
        <row r="70">
          <cell r="E70">
            <v>1052</v>
          </cell>
        </row>
        <row r="71">
          <cell r="E71">
            <v>1755</v>
          </cell>
        </row>
        <row r="72">
          <cell r="E72">
            <v>1054</v>
          </cell>
          <cell r="F72" t="str">
            <v>PCNV Phó Trưởng
 khoa, PBTCB</v>
          </cell>
        </row>
        <row r="73">
          <cell r="E73">
            <v>1055</v>
          </cell>
          <cell r="F73" t="str">
            <v>PCNV Phó Trưởng
 BM phụ trách BM</v>
          </cell>
        </row>
        <row r="74">
          <cell r="E74">
            <v>1057</v>
          </cell>
        </row>
        <row r="75">
          <cell r="E75">
            <v>1058</v>
          </cell>
        </row>
        <row r="76">
          <cell r="E76">
            <v>1391</v>
          </cell>
          <cell r="IJ76">
            <v>0</v>
          </cell>
          <cell r="IK76">
            <v>0</v>
          </cell>
          <cell r="IL76">
            <v>0</v>
          </cell>
          <cell r="IM76">
            <v>0</v>
          </cell>
          <cell r="IN76">
            <v>0</v>
          </cell>
          <cell r="IO76">
            <v>0</v>
          </cell>
          <cell r="IP76">
            <v>0</v>
          </cell>
          <cell r="IQ76">
            <v>0</v>
          </cell>
          <cell r="IR76">
            <v>0</v>
          </cell>
          <cell r="IS76">
            <v>0</v>
          </cell>
        </row>
        <row r="77">
          <cell r="E77">
            <v>1059</v>
          </cell>
        </row>
        <row r="78">
          <cell r="E78">
            <v>1070</v>
          </cell>
          <cell r="F78" t="str">
            <v>Trưởng khoa, BTCB</v>
          </cell>
          <cell r="CW78">
            <v>1</v>
          </cell>
          <cell r="DL78">
            <v>1</v>
          </cell>
          <cell r="EH78">
            <v>1</v>
          </cell>
          <cell r="ET78">
            <v>1</v>
          </cell>
          <cell r="FI78">
            <v>1</v>
          </cell>
          <cell r="FR78">
            <v>1</v>
          </cell>
          <cell r="GE78">
            <v>1</v>
          </cell>
          <cell r="HZ78">
            <v>1</v>
          </cell>
        </row>
        <row r="79">
          <cell r="E79">
            <v>1071</v>
          </cell>
          <cell r="F79" t="str">
            <v>Trưởng bộ môn, PBTCB</v>
          </cell>
          <cell r="EH79">
            <v>1</v>
          </cell>
          <cell r="GE79">
            <v>1</v>
          </cell>
          <cell r="HL79">
            <v>1</v>
          </cell>
          <cell r="HZ79">
            <v>1</v>
          </cell>
        </row>
        <row r="80">
          <cell r="E80">
            <v>1072</v>
          </cell>
          <cell r="FA80">
            <v>1</v>
          </cell>
        </row>
        <row r="81">
          <cell r="E81">
            <v>1073</v>
          </cell>
          <cell r="BD81">
            <v>1</v>
          </cell>
          <cell r="BV81">
            <v>1</v>
          </cell>
          <cell r="CP81">
            <v>1</v>
          </cell>
          <cell r="DA81">
            <v>1</v>
          </cell>
          <cell r="DF81">
            <v>1</v>
          </cell>
          <cell r="DG81">
            <v>1</v>
          </cell>
          <cell r="DL81">
            <v>1</v>
          </cell>
          <cell r="DY81">
            <v>1</v>
          </cell>
          <cell r="EQ81">
            <v>1</v>
          </cell>
          <cell r="EW81">
            <v>1</v>
          </cell>
        </row>
        <row r="82">
          <cell r="E82">
            <v>1074</v>
          </cell>
          <cell r="F82" t="str">
            <v>BTCĐ</v>
          </cell>
        </row>
        <row r="83">
          <cell r="E83">
            <v>1075</v>
          </cell>
        </row>
        <row r="84">
          <cell r="E84">
            <v>1076</v>
          </cell>
        </row>
        <row r="85">
          <cell r="E85">
            <v>1077</v>
          </cell>
        </row>
        <row r="86">
          <cell r="E86">
            <v>1078</v>
          </cell>
        </row>
        <row r="87">
          <cell r="E87">
            <v>1079</v>
          </cell>
        </row>
        <row r="88">
          <cell r="E88">
            <v>1080</v>
          </cell>
        </row>
        <row r="89">
          <cell r="E89">
            <v>1081</v>
          </cell>
          <cell r="F89" t="str">
            <v>Phó trưởng khoa</v>
          </cell>
          <cell r="FA89">
            <v>1</v>
          </cell>
          <cell r="GO89">
            <v>1</v>
          </cell>
          <cell r="HZ89">
            <v>1</v>
          </cell>
        </row>
        <row r="90">
          <cell r="E90">
            <v>1082</v>
          </cell>
          <cell r="F90" t="str">
            <v>Trưởng BM, CUV, CTCĐ</v>
          </cell>
          <cell r="IJ90">
            <v>0</v>
          </cell>
          <cell r="IK90">
            <v>0</v>
          </cell>
          <cell r="IL90">
            <v>0</v>
          </cell>
          <cell r="IM90">
            <v>0</v>
          </cell>
          <cell r="IN90">
            <v>0</v>
          </cell>
          <cell r="IO90">
            <v>0</v>
          </cell>
          <cell r="IP90">
            <v>0</v>
          </cell>
          <cell r="IQ90">
            <v>0</v>
          </cell>
          <cell r="IR90">
            <v>0</v>
          </cell>
          <cell r="IS90">
            <v>0</v>
          </cell>
        </row>
        <row r="91">
          <cell r="E91">
            <v>1083</v>
          </cell>
          <cell r="F91" t="str">
            <v>Phó Trưởng BM</v>
          </cell>
          <cell r="HL91">
            <v>1</v>
          </cell>
        </row>
        <row r="92">
          <cell r="E92">
            <v>1084</v>
          </cell>
          <cell r="FJ92">
            <v>1</v>
          </cell>
          <cell r="HZ92">
            <v>1</v>
          </cell>
        </row>
        <row r="93">
          <cell r="E93">
            <v>1086</v>
          </cell>
          <cell r="GY93">
            <v>1</v>
          </cell>
        </row>
        <row r="94">
          <cell r="E94">
            <v>1087</v>
          </cell>
          <cell r="GE94">
            <v>1</v>
          </cell>
        </row>
        <row r="95">
          <cell r="E95">
            <v>1088</v>
          </cell>
          <cell r="HV95">
            <v>1</v>
          </cell>
        </row>
        <row r="96">
          <cell r="E96">
            <v>1089</v>
          </cell>
        </row>
        <row r="97">
          <cell r="E97">
            <v>1090</v>
          </cell>
          <cell r="HV97">
            <v>1</v>
          </cell>
        </row>
        <row r="98">
          <cell r="E98">
            <v>1091</v>
          </cell>
          <cell r="IJ98">
            <v>0</v>
          </cell>
          <cell r="IK98">
            <v>0</v>
          </cell>
          <cell r="IL98">
            <v>0</v>
          </cell>
          <cell r="IM98">
            <v>0</v>
          </cell>
          <cell r="IN98">
            <v>0</v>
          </cell>
          <cell r="IO98">
            <v>0</v>
          </cell>
          <cell r="IP98">
            <v>0</v>
          </cell>
          <cell r="IQ98">
            <v>0</v>
          </cell>
          <cell r="IR98">
            <v>0</v>
          </cell>
          <cell r="IS98">
            <v>0</v>
          </cell>
        </row>
        <row r="99">
          <cell r="E99">
            <v>1092</v>
          </cell>
        </row>
        <row r="100">
          <cell r="E100">
            <v>1093</v>
          </cell>
        </row>
        <row r="101">
          <cell r="E101">
            <v>1758</v>
          </cell>
        </row>
        <row r="102">
          <cell r="E102">
            <v>1104</v>
          </cell>
          <cell r="F102" t="str">
            <v>Trưởng bộ môn</v>
          </cell>
        </row>
        <row r="103">
          <cell r="E103">
            <v>1105</v>
          </cell>
          <cell r="FJ103">
            <v>1</v>
          </cell>
        </row>
        <row r="104">
          <cell r="E104">
            <v>1106</v>
          </cell>
        </row>
        <row r="105">
          <cell r="E105">
            <v>1107</v>
          </cell>
        </row>
        <row r="106">
          <cell r="E106">
            <v>1108</v>
          </cell>
        </row>
        <row r="107">
          <cell r="E107">
            <v>1110</v>
          </cell>
          <cell r="F107" t="str">
            <v>Trưởng bộ môn</v>
          </cell>
        </row>
        <row r="108">
          <cell r="E108">
            <v>1111</v>
          </cell>
          <cell r="AU108">
            <v>1</v>
          </cell>
          <cell r="CE108">
            <v>1</v>
          </cell>
          <cell r="DI108">
            <v>1</v>
          </cell>
          <cell r="DP108">
            <v>1</v>
          </cell>
          <cell r="FA108">
            <v>1</v>
          </cell>
          <cell r="GO108">
            <v>1</v>
          </cell>
          <cell r="IJ108">
            <v>0</v>
          </cell>
          <cell r="IK108">
            <v>0</v>
          </cell>
          <cell r="IL108">
            <v>0</v>
          </cell>
          <cell r="IM108">
            <v>0</v>
          </cell>
          <cell r="IN108">
            <v>1</v>
          </cell>
          <cell r="IO108">
            <v>0</v>
          </cell>
          <cell r="IP108">
            <v>0</v>
          </cell>
          <cell r="IQ108">
            <v>0</v>
          </cell>
          <cell r="IR108">
            <v>0</v>
          </cell>
          <cell r="IS108">
            <v>0</v>
          </cell>
        </row>
        <row r="109">
          <cell r="E109">
            <v>1112</v>
          </cell>
        </row>
        <row r="110">
          <cell r="E110">
            <v>1113</v>
          </cell>
        </row>
        <row r="111">
          <cell r="E111">
            <v>1114</v>
          </cell>
        </row>
        <row r="112">
          <cell r="E112">
            <v>1115</v>
          </cell>
        </row>
        <row r="113">
          <cell r="E113">
            <v>1116</v>
          </cell>
        </row>
        <row r="114">
          <cell r="E114">
            <v>1118</v>
          </cell>
          <cell r="F114" t="str">
            <v>Viện Trưởng, PBTCB</v>
          </cell>
          <cell r="CN114">
            <v>1</v>
          </cell>
          <cell r="DP114">
            <v>1</v>
          </cell>
          <cell r="ED114">
            <v>1</v>
          </cell>
          <cell r="EH114">
            <v>1</v>
          </cell>
          <cell r="EJ114">
            <v>1</v>
          </cell>
          <cell r="FZ114">
            <v>1</v>
          </cell>
          <cell r="HR114">
            <v>1</v>
          </cell>
        </row>
        <row r="115">
          <cell r="E115">
            <v>1119</v>
          </cell>
          <cell r="F115" t="str">
            <v>Trưởng bộ môn, CUV</v>
          </cell>
          <cell r="FU115">
            <v>1</v>
          </cell>
        </row>
        <row r="116">
          <cell r="E116">
            <v>1120</v>
          </cell>
          <cell r="F116" t="str">
            <v xml:space="preserve">Phó Trưởng bộ môn </v>
          </cell>
          <cell r="GO116">
            <v>1</v>
          </cell>
        </row>
        <row r="117">
          <cell r="E117">
            <v>1121</v>
          </cell>
          <cell r="FZ117">
            <v>1</v>
          </cell>
          <cell r="GE117">
            <v>1</v>
          </cell>
          <cell r="IJ117">
            <v>0</v>
          </cell>
          <cell r="IK117">
            <v>0</v>
          </cell>
          <cell r="IL117">
            <v>0</v>
          </cell>
          <cell r="IM117">
            <v>0</v>
          </cell>
          <cell r="IN117">
            <v>0</v>
          </cell>
          <cell r="IO117">
            <v>0</v>
          </cell>
          <cell r="IP117">
            <v>0</v>
          </cell>
          <cell r="IQ117">
            <v>0</v>
          </cell>
          <cell r="IR117">
            <v>0</v>
          </cell>
          <cell r="IS117">
            <v>0</v>
          </cell>
        </row>
        <row r="118">
          <cell r="E118">
            <v>1122</v>
          </cell>
          <cell r="CW118">
            <v>1</v>
          </cell>
          <cell r="DP118">
            <v>1</v>
          </cell>
          <cell r="ED118">
            <v>1</v>
          </cell>
          <cell r="FA118">
            <v>1</v>
          </cell>
          <cell r="FF118">
            <v>1</v>
          </cell>
          <cell r="FZ118">
            <v>1</v>
          </cell>
          <cell r="GX118">
            <v>1</v>
          </cell>
          <cell r="HB118">
            <v>1</v>
          </cell>
          <cell r="HN118">
            <v>1</v>
          </cell>
        </row>
        <row r="119">
          <cell r="E119">
            <v>1123</v>
          </cell>
          <cell r="FZ119">
            <v>1</v>
          </cell>
        </row>
        <row r="120">
          <cell r="E120">
            <v>1124</v>
          </cell>
        </row>
        <row r="121">
          <cell r="E121">
            <v>1125</v>
          </cell>
          <cell r="F121" t="str">
            <v>CTCĐ</v>
          </cell>
        </row>
        <row r="122">
          <cell r="E122">
            <v>1127</v>
          </cell>
        </row>
        <row r="123">
          <cell r="E123">
            <v>1128</v>
          </cell>
        </row>
        <row r="124">
          <cell r="E124">
            <v>1129</v>
          </cell>
          <cell r="HV124">
            <v>1</v>
          </cell>
        </row>
        <row r="125">
          <cell r="E125">
            <v>1130</v>
          </cell>
        </row>
        <row r="126">
          <cell r="E126">
            <v>1154</v>
          </cell>
          <cell r="F126" t="str">
            <v>Trưởng bộ môn</v>
          </cell>
          <cell r="GE126">
            <v>1</v>
          </cell>
        </row>
        <row r="127">
          <cell r="E127">
            <v>1131</v>
          </cell>
          <cell r="DY127">
            <v>1</v>
          </cell>
          <cell r="ED127">
            <v>1</v>
          </cell>
          <cell r="FJ127">
            <v>1</v>
          </cell>
          <cell r="FO127">
            <v>1</v>
          </cell>
          <cell r="GH127">
            <v>1</v>
          </cell>
          <cell r="GQ127">
            <v>1</v>
          </cell>
        </row>
        <row r="128">
          <cell r="E128">
            <v>1133</v>
          </cell>
          <cell r="EQ128">
            <v>1</v>
          </cell>
        </row>
        <row r="129">
          <cell r="E129">
            <v>1135</v>
          </cell>
          <cell r="F129" t="str">
            <v>Phó Trưởng bộ môn</v>
          </cell>
        </row>
        <row r="130">
          <cell r="E130">
            <v>1136</v>
          </cell>
        </row>
        <row r="131">
          <cell r="E131">
            <v>1137</v>
          </cell>
        </row>
        <row r="132">
          <cell r="E132">
            <v>1138</v>
          </cell>
          <cell r="F132" t="str">
            <v>BTCĐ</v>
          </cell>
        </row>
        <row r="133">
          <cell r="E133">
            <v>1139</v>
          </cell>
          <cell r="GO133">
            <v>1</v>
          </cell>
        </row>
        <row r="134">
          <cell r="E134">
            <v>1140</v>
          </cell>
        </row>
        <row r="135">
          <cell r="E135">
            <v>1158</v>
          </cell>
          <cell r="HV135">
            <v>1</v>
          </cell>
        </row>
        <row r="136">
          <cell r="E136">
            <v>1126</v>
          </cell>
          <cell r="GV136">
            <v>1</v>
          </cell>
        </row>
        <row r="137">
          <cell r="E137">
            <v>1163</v>
          </cell>
        </row>
        <row r="138">
          <cell r="E138">
            <v>1141</v>
          </cell>
          <cell r="F138" t="str">
            <v>Trưởng bộ môn, CUV</v>
          </cell>
          <cell r="HV138">
            <v>1</v>
          </cell>
        </row>
        <row r="139">
          <cell r="E139">
            <v>1142</v>
          </cell>
          <cell r="F139" t="str">
            <v>Phó Trưởng bộ môn</v>
          </cell>
        </row>
        <row r="140">
          <cell r="E140">
            <v>1143</v>
          </cell>
          <cell r="CE140">
            <v>1</v>
          </cell>
          <cell r="CN140">
            <v>1</v>
          </cell>
          <cell r="DP140">
            <v>1</v>
          </cell>
          <cell r="DU140">
            <v>1</v>
          </cell>
          <cell r="EA140">
            <v>1</v>
          </cell>
          <cell r="EH140">
            <v>1</v>
          </cell>
          <cell r="GX140">
            <v>1</v>
          </cell>
          <cell r="IJ140">
            <v>0</v>
          </cell>
          <cell r="IK140">
            <v>0</v>
          </cell>
          <cell r="IL140">
            <v>0</v>
          </cell>
          <cell r="IM140">
            <v>1</v>
          </cell>
          <cell r="IN140">
            <v>0</v>
          </cell>
          <cell r="IO140">
            <v>0</v>
          </cell>
          <cell r="IP140">
            <v>0</v>
          </cell>
          <cell r="IQ140">
            <v>0</v>
          </cell>
          <cell r="IR140">
            <v>0</v>
          </cell>
          <cell r="IS140">
            <v>0</v>
          </cell>
        </row>
        <row r="141">
          <cell r="E141">
            <v>1144</v>
          </cell>
        </row>
        <row r="142">
          <cell r="E142">
            <v>1145</v>
          </cell>
        </row>
        <row r="143">
          <cell r="E143">
            <v>1146</v>
          </cell>
        </row>
        <row r="144">
          <cell r="E144">
            <v>1147</v>
          </cell>
          <cell r="GV144">
            <v>1</v>
          </cell>
          <cell r="HV144">
            <v>1</v>
          </cell>
        </row>
        <row r="145">
          <cell r="E145">
            <v>1148</v>
          </cell>
        </row>
        <row r="146">
          <cell r="E146">
            <v>1149</v>
          </cell>
        </row>
        <row r="147">
          <cell r="E147">
            <v>1150</v>
          </cell>
        </row>
        <row r="148">
          <cell r="E148">
            <v>1151</v>
          </cell>
          <cell r="IJ148">
            <v>0</v>
          </cell>
          <cell r="IK148">
            <v>0</v>
          </cell>
          <cell r="IL148">
            <v>0</v>
          </cell>
          <cell r="IM148">
            <v>0</v>
          </cell>
          <cell r="IN148">
            <v>0</v>
          </cell>
          <cell r="IO148">
            <v>0</v>
          </cell>
          <cell r="IP148">
            <v>0</v>
          </cell>
          <cell r="IQ148">
            <v>0</v>
          </cell>
          <cell r="IR148">
            <v>0</v>
          </cell>
          <cell r="IS148">
            <v>0</v>
          </cell>
        </row>
        <row r="149">
          <cell r="E149">
            <v>1152</v>
          </cell>
        </row>
        <row r="150">
          <cell r="E150">
            <v>1153</v>
          </cell>
          <cell r="F150" t="str">
            <v>Trưởng bộ môn, BTCB</v>
          </cell>
          <cell r="DP150">
            <v>1</v>
          </cell>
          <cell r="EW150">
            <v>1</v>
          </cell>
          <cell r="FA150">
            <v>1</v>
          </cell>
          <cell r="GX150">
            <v>1</v>
          </cell>
        </row>
        <row r="151">
          <cell r="E151">
            <v>1155</v>
          </cell>
          <cell r="F151" t="str">
            <v>Phó Viện Trưởng</v>
          </cell>
          <cell r="FA151">
            <v>1</v>
          </cell>
          <cell r="FO151">
            <v>1</v>
          </cell>
          <cell r="HX151">
            <v>1</v>
          </cell>
        </row>
        <row r="152">
          <cell r="E152">
            <v>1156</v>
          </cell>
        </row>
        <row r="153">
          <cell r="E153">
            <v>1157</v>
          </cell>
          <cell r="F153" t="str">
            <v>Phó Trưởng bộ môn</v>
          </cell>
          <cell r="HV153">
            <v>1</v>
          </cell>
        </row>
        <row r="154">
          <cell r="E154">
            <v>1159</v>
          </cell>
          <cell r="GO154">
            <v>1</v>
          </cell>
        </row>
        <row r="155">
          <cell r="E155">
            <v>1160</v>
          </cell>
        </row>
        <row r="156">
          <cell r="E156">
            <v>1161</v>
          </cell>
        </row>
        <row r="157">
          <cell r="E157">
            <v>1162</v>
          </cell>
        </row>
        <row r="158">
          <cell r="E158">
            <v>1164</v>
          </cell>
        </row>
        <row r="159">
          <cell r="E159">
            <v>1165</v>
          </cell>
          <cell r="AU159">
            <v>1</v>
          </cell>
          <cell r="AW159">
            <v>1</v>
          </cell>
          <cell r="CE159">
            <v>1</v>
          </cell>
          <cell r="CM159">
            <v>1</v>
          </cell>
          <cell r="DA159">
            <v>1</v>
          </cell>
          <cell r="DG159">
            <v>1</v>
          </cell>
          <cell r="DY159">
            <v>1</v>
          </cell>
          <cell r="DZ159">
            <v>1</v>
          </cell>
          <cell r="EQ159">
            <v>1</v>
          </cell>
          <cell r="FF159">
            <v>1</v>
          </cell>
          <cell r="FJ159">
            <v>1</v>
          </cell>
          <cell r="GG159">
            <v>1</v>
          </cell>
          <cell r="GP159">
            <v>1</v>
          </cell>
          <cell r="HK159">
            <v>1</v>
          </cell>
        </row>
        <row r="160">
          <cell r="E160">
            <v>1166</v>
          </cell>
          <cell r="DP160">
            <v>1</v>
          </cell>
          <cell r="DU160">
            <v>1</v>
          </cell>
          <cell r="EH160">
            <v>1</v>
          </cell>
          <cell r="FJ160">
            <v>1</v>
          </cell>
          <cell r="FL160">
            <v>1</v>
          </cell>
        </row>
        <row r="161">
          <cell r="E161">
            <v>1167</v>
          </cell>
          <cell r="F161" t="str">
            <v>Trưởng khoa, BTCB</v>
          </cell>
          <cell r="DP161">
            <v>1</v>
          </cell>
          <cell r="HR161">
            <v>1</v>
          </cell>
        </row>
        <row r="162">
          <cell r="E162">
            <v>1168</v>
          </cell>
          <cell r="F162" t="str">
            <v>Trưởng bộ môn</v>
          </cell>
          <cell r="DG162">
            <v>1</v>
          </cell>
          <cell r="GO162">
            <v>1</v>
          </cell>
          <cell r="HR162">
            <v>1</v>
          </cell>
          <cell r="HV162">
            <v>1</v>
          </cell>
        </row>
        <row r="163">
          <cell r="E163">
            <v>1169</v>
          </cell>
        </row>
        <row r="164">
          <cell r="E164">
            <v>1170</v>
          </cell>
        </row>
        <row r="165">
          <cell r="E165">
            <v>1171</v>
          </cell>
        </row>
        <row r="166">
          <cell r="E166">
            <v>1172</v>
          </cell>
          <cell r="F166" t="str">
            <v>CUV, BTCĐ</v>
          </cell>
        </row>
        <row r="167">
          <cell r="E167">
            <v>1173</v>
          </cell>
        </row>
        <row r="168">
          <cell r="E168">
            <v>1174</v>
          </cell>
        </row>
        <row r="169">
          <cell r="E169">
            <v>1175</v>
          </cell>
        </row>
        <row r="170">
          <cell r="E170">
            <v>1176</v>
          </cell>
          <cell r="F170" t="str">
            <v>THNV Phó Trưởng BM</v>
          </cell>
        </row>
        <row r="171">
          <cell r="E171">
            <v>1177</v>
          </cell>
        </row>
        <row r="172">
          <cell r="E172">
            <v>1179</v>
          </cell>
          <cell r="F172" t="str">
            <v>Phó Trưởng khoa, CTCĐ</v>
          </cell>
          <cell r="DY172">
            <v>1</v>
          </cell>
          <cell r="FA172">
            <v>1</v>
          </cell>
          <cell r="GO172">
            <v>1</v>
          </cell>
          <cell r="HR172">
            <v>1</v>
          </cell>
          <cell r="HV172">
            <v>1</v>
          </cell>
        </row>
        <row r="173">
          <cell r="E173">
            <v>1180</v>
          </cell>
          <cell r="F173" t="str">
            <v>THNV Trưởng bộ môn</v>
          </cell>
        </row>
        <row r="174">
          <cell r="E174">
            <v>1182</v>
          </cell>
        </row>
        <row r="175">
          <cell r="E175">
            <v>1183</v>
          </cell>
        </row>
        <row r="176">
          <cell r="E176">
            <v>1184</v>
          </cell>
        </row>
        <row r="177">
          <cell r="E177">
            <v>1185</v>
          </cell>
          <cell r="GV177">
            <v>1</v>
          </cell>
        </row>
        <row r="178">
          <cell r="E178">
            <v>1186</v>
          </cell>
        </row>
        <row r="179">
          <cell r="E179">
            <v>1187</v>
          </cell>
        </row>
        <row r="180">
          <cell r="E180">
            <v>1188</v>
          </cell>
          <cell r="IJ180">
            <v>0</v>
          </cell>
          <cell r="IK180">
            <v>0</v>
          </cell>
          <cell r="IL180">
            <v>0</v>
          </cell>
          <cell r="IM180">
            <v>0</v>
          </cell>
          <cell r="IN180">
            <v>0</v>
          </cell>
          <cell r="IO180">
            <v>0</v>
          </cell>
          <cell r="IP180">
            <v>0</v>
          </cell>
          <cell r="IQ180">
            <v>0</v>
          </cell>
          <cell r="IR180">
            <v>0</v>
          </cell>
          <cell r="IS180">
            <v>0</v>
          </cell>
        </row>
        <row r="181">
          <cell r="E181">
            <v>1189</v>
          </cell>
          <cell r="IJ181">
            <v>0</v>
          </cell>
          <cell r="IK181">
            <v>0</v>
          </cell>
          <cell r="IL181">
            <v>0</v>
          </cell>
          <cell r="IM181">
            <v>0</v>
          </cell>
          <cell r="IN181">
            <v>0</v>
          </cell>
          <cell r="IO181">
            <v>0</v>
          </cell>
          <cell r="IP181">
            <v>0</v>
          </cell>
          <cell r="IQ181">
            <v>0</v>
          </cell>
          <cell r="IR181">
            <v>0</v>
          </cell>
          <cell r="IS181">
            <v>0</v>
          </cell>
        </row>
        <row r="182">
          <cell r="E182">
            <v>1094</v>
          </cell>
          <cell r="F182" t="str">
            <v>Trưởng bộ môn</v>
          </cell>
          <cell r="HL182">
            <v>1</v>
          </cell>
        </row>
        <row r="183">
          <cell r="E183">
            <v>1095</v>
          </cell>
          <cell r="F183" t="str">
            <v>Phó Trưởng bộ môn</v>
          </cell>
        </row>
        <row r="184">
          <cell r="E184">
            <v>1096</v>
          </cell>
        </row>
        <row r="185">
          <cell r="E185">
            <v>1097</v>
          </cell>
          <cell r="DG185">
            <v>1</v>
          </cell>
          <cell r="DL185">
            <v>1</v>
          </cell>
          <cell r="DY185">
            <v>1</v>
          </cell>
          <cell r="EW185">
            <v>1</v>
          </cell>
          <cell r="FA185">
            <v>1</v>
          </cell>
          <cell r="FL185">
            <v>1</v>
          </cell>
        </row>
        <row r="186">
          <cell r="E186">
            <v>1098</v>
          </cell>
          <cell r="CW186">
            <v>1</v>
          </cell>
          <cell r="DP186">
            <v>1</v>
          </cell>
          <cell r="EA186">
            <v>1</v>
          </cell>
          <cell r="EH186">
            <v>1</v>
          </cell>
          <cell r="FJ186">
            <v>1</v>
          </cell>
          <cell r="FO186">
            <v>1</v>
          </cell>
          <cell r="IJ186">
            <v>0</v>
          </cell>
          <cell r="IK186">
            <v>0</v>
          </cell>
          <cell r="IL186">
            <v>0</v>
          </cell>
          <cell r="IM186">
            <v>0</v>
          </cell>
          <cell r="IN186">
            <v>0</v>
          </cell>
          <cell r="IO186">
            <v>0</v>
          </cell>
          <cell r="IP186">
            <v>0</v>
          </cell>
          <cell r="IQ186">
            <v>0</v>
          </cell>
          <cell r="IR186">
            <v>0</v>
          </cell>
          <cell r="IS186">
            <v>0</v>
          </cell>
        </row>
        <row r="187">
          <cell r="E187">
            <v>1099</v>
          </cell>
        </row>
        <row r="188">
          <cell r="E188">
            <v>1100</v>
          </cell>
        </row>
        <row r="189">
          <cell r="E189">
            <v>1101</v>
          </cell>
        </row>
        <row r="190">
          <cell r="E190">
            <v>1102</v>
          </cell>
          <cell r="IJ190">
            <v>0</v>
          </cell>
          <cell r="IK190">
            <v>0</v>
          </cell>
          <cell r="IL190">
            <v>0</v>
          </cell>
          <cell r="IM190">
            <v>0</v>
          </cell>
          <cell r="IN190">
            <v>0</v>
          </cell>
          <cell r="IO190">
            <v>0</v>
          </cell>
          <cell r="IP190">
            <v>0</v>
          </cell>
          <cell r="IQ190">
            <v>0</v>
          </cell>
          <cell r="IR190">
            <v>0</v>
          </cell>
          <cell r="IS190">
            <v>0</v>
          </cell>
        </row>
        <row r="191">
          <cell r="E191">
            <v>1103</v>
          </cell>
          <cell r="IJ191">
            <v>0</v>
          </cell>
          <cell r="IK191">
            <v>0</v>
          </cell>
          <cell r="IL191">
            <v>0</v>
          </cell>
          <cell r="IM191">
            <v>0</v>
          </cell>
          <cell r="IN191">
            <v>0</v>
          </cell>
          <cell r="IO191">
            <v>0</v>
          </cell>
          <cell r="IP191">
            <v>0</v>
          </cell>
          <cell r="IQ191">
            <v>0</v>
          </cell>
          <cell r="IR191">
            <v>0</v>
          </cell>
          <cell r="IS191">
            <v>0</v>
          </cell>
        </row>
        <row r="192">
          <cell r="E192">
            <v>1437</v>
          </cell>
          <cell r="F192" t="str">
            <v>Trưởng khoa, BTCB</v>
          </cell>
          <cell r="FA192">
            <v>1</v>
          </cell>
          <cell r="GA192">
            <v>1</v>
          </cell>
          <cell r="GO192">
            <v>1</v>
          </cell>
          <cell r="GT192">
            <v>1</v>
          </cell>
          <cell r="GX192">
            <v>1</v>
          </cell>
        </row>
        <row r="193">
          <cell r="E193">
            <v>1438</v>
          </cell>
          <cell r="F193" t="str">
            <v>Trưởng bộ môn, CUV</v>
          </cell>
          <cell r="FU193">
            <v>1</v>
          </cell>
          <cell r="HV193">
            <v>1</v>
          </cell>
        </row>
        <row r="194">
          <cell r="E194">
            <v>1439</v>
          </cell>
          <cell r="F194" t="str">
            <v>Phó Trưởng bộ môn</v>
          </cell>
          <cell r="HV194">
            <v>1</v>
          </cell>
        </row>
        <row r="195">
          <cell r="E195">
            <v>1440</v>
          </cell>
        </row>
        <row r="196">
          <cell r="E196">
            <v>1441</v>
          </cell>
        </row>
        <row r="197">
          <cell r="E197">
            <v>1442</v>
          </cell>
        </row>
        <row r="198">
          <cell r="E198">
            <v>1443</v>
          </cell>
        </row>
        <row r="199">
          <cell r="E199">
            <v>1444</v>
          </cell>
        </row>
        <row r="200">
          <cell r="E200">
            <v>1445</v>
          </cell>
        </row>
        <row r="201">
          <cell r="E201">
            <v>1446</v>
          </cell>
        </row>
        <row r="202">
          <cell r="E202">
            <v>1447</v>
          </cell>
        </row>
        <row r="203">
          <cell r="E203">
            <v>1448</v>
          </cell>
          <cell r="F203" t="str">
            <v>Chi ủy viên</v>
          </cell>
        </row>
        <row r="204">
          <cell r="E204">
            <v>1449</v>
          </cell>
        </row>
        <row r="205">
          <cell r="E205">
            <v>1450</v>
          </cell>
        </row>
        <row r="206">
          <cell r="E206">
            <v>1451</v>
          </cell>
          <cell r="GV206">
            <v>1</v>
          </cell>
        </row>
        <row r="207">
          <cell r="E207">
            <v>1452</v>
          </cell>
        </row>
        <row r="208">
          <cell r="E208">
            <v>1453</v>
          </cell>
        </row>
        <row r="209">
          <cell r="E209">
            <v>1454</v>
          </cell>
        </row>
        <row r="210">
          <cell r="E210">
            <v>1202</v>
          </cell>
        </row>
        <row r="211">
          <cell r="E211">
            <v>1190</v>
          </cell>
          <cell r="F211" t="str">
            <v>Trưởng bộ môn, CUV</v>
          </cell>
          <cell r="IJ211">
            <v>0</v>
          </cell>
          <cell r="IK211">
            <v>0</v>
          </cell>
          <cell r="IL211">
            <v>0</v>
          </cell>
          <cell r="IM211">
            <v>0</v>
          </cell>
          <cell r="IN211">
            <v>0</v>
          </cell>
          <cell r="IO211">
            <v>0</v>
          </cell>
          <cell r="IP211">
            <v>0</v>
          </cell>
          <cell r="IQ211">
            <v>0</v>
          </cell>
          <cell r="IR211">
            <v>0</v>
          </cell>
          <cell r="IS211">
            <v>0</v>
          </cell>
        </row>
        <row r="212">
          <cell r="E212">
            <v>1191</v>
          </cell>
          <cell r="F212" t="str">
            <v>Phó Trưởng bộ môn, CTCĐ</v>
          </cell>
        </row>
        <row r="213">
          <cell r="E213">
            <v>1192</v>
          </cell>
        </row>
        <row r="214">
          <cell r="E214">
            <v>1193</v>
          </cell>
          <cell r="F214" t="str">
            <v>Phó Bí thư Chi bộ</v>
          </cell>
        </row>
        <row r="215">
          <cell r="E215">
            <v>1194</v>
          </cell>
        </row>
        <row r="216">
          <cell r="E216">
            <v>1195</v>
          </cell>
        </row>
        <row r="217">
          <cell r="E217">
            <v>1196</v>
          </cell>
          <cell r="HL217">
            <v>1</v>
          </cell>
        </row>
        <row r="218">
          <cell r="E218">
            <v>1197</v>
          </cell>
          <cell r="GV218">
            <v>1</v>
          </cell>
        </row>
        <row r="219">
          <cell r="E219">
            <v>1198</v>
          </cell>
        </row>
        <row r="220">
          <cell r="E220">
            <v>1199</v>
          </cell>
          <cell r="F220" t="str">
            <v>BTCĐ</v>
          </cell>
        </row>
        <row r="221">
          <cell r="E221">
            <v>1200</v>
          </cell>
          <cell r="IJ221">
            <v>0</v>
          </cell>
          <cell r="IK221">
            <v>0</v>
          </cell>
          <cell r="IL221">
            <v>0</v>
          </cell>
          <cell r="IM221">
            <v>0</v>
          </cell>
          <cell r="IN221">
            <v>0</v>
          </cell>
          <cell r="IO221">
            <v>0</v>
          </cell>
          <cell r="IP221">
            <v>0</v>
          </cell>
          <cell r="IQ221">
            <v>0</v>
          </cell>
          <cell r="IR221">
            <v>0</v>
          </cell>
          <cell r="IS221">
            <v>0</v>
          </cell>
        </row>
        <row r="222">
          <cell r="E222">
            <v>1201</v>
          </cell>
          <cell r="IJ222">
            <v>0</v>
          </cell>
          <cell r="IK222">
            <v>0</v>
          </cell>
          <cell r="IL222">
            <v>0</v>
          </cell>
          <cell r="IM222">
            <v>0</v>
          </cell>
          <cell r="IN222">
            <v>0</v>
          </cell>
          <cell r="IO222">
            <v>0</v>
          </cell>
          <cell r="IP222">
            <v>0</v>
          </cell>
          <cell r="IQ222">
            <v>0</v>
          </cell>
          <cell r="IR222">
            <v>0</v>
          </cell>
          <cell r="IS222">
            <v>0</v>
          </cell>
        </row>
        <row r="223">
          <cell r="E223">
            <v>1225</v>
          </cell>
          <cell r="F223" t="str">
            <v>THNV Phó Trưởng khoa</v>
          </cell>
        </row>
        <row r="224">
          <cell r="E224">
            <v>1227</v>
          </cell>
        </row>
        <row r="225">
          <cell r="E225">
            <v>1228</v>
          </cell>
        </row>
        <row r="226">
          <cell r="E226">
            <v>1229</v>
          </cell>
        </row>
        <row r="227">
          <cell r="E227">
            <v>1752</v>
          </cell>
          <cell r="IJ227">
            <v>0</v>
          </cell>
          <cell r="IK227">
            <v>0</v>
          </cell>
          <cell r="IL227">
            <v>0</v>
          </cell>
          <cell r="IM227">
            <v>0</v>
          </cell>
          <cell r="IN227">
            <v>0</v>
          </cell>
          <cell r="IO227">
            <v>0</v>
          </cell>
          <cell r="IP227">
            <v>0</v>
          </cell>
          <cell r="IQ227">
            <v>0</v>
          </cell>
          <cell r="IR227">
            <v>0</v>
          </cell>
          <cell r="IS227">
            <v>0</v>
          </cell>
        </row>
        <row r="228">
          <cell r="E228">
            <v>1553</v>
          </cell>
          <cell r="F228" t="str">
            <v>Trưởng khoa</v>
          </cell>
          <cell r="FA228">
            <v>1</v>
          </cell>
          <cell r="GO228">
            <v>1</v>
          </cell>
          <cell r="GV228">
            <v>1</v>
          </cell>
        </row>
        <row r="229">
          <cell r="E229">
            <v>1215</v>
          </cell>
          <cell r="F229" t="str">
            <v>Trưởng bộ môn, CUV</v>
          </cell>
          <cell r="FF229">
            <v>1</v>
          </cell>
          <cell r="HU229">
            <v>1</v>
          </cell>
          <cell r="IC229">
            <v>1</v>
          </cell>
          <cell r="IJ229">
            <v>0</v>
          </cell>
          <cell r="IK229">
            <v>0</v>
          </cell>
          <cell r="IL229">
            <v>0</v>
          </cell>
          <cell r="IM229">
            <v>1</v>
          </cell>
          <cell r="IN229">
            <v>0</v>
          </cell>
          <cell r="IO229">
            <v>0</v>
          </cell>
          <cell r="IP229">
            <v>0</v>
          </cell>
          <cell r="IQ229">
            <v>0</v>
          </cell>
          <cell r="IR229">
            <v>0</v>
          </cell>
          <cell r="IS229">
            <v>0</v>
          </cell>
        </row>
        <row r="230">
          <cell r="E230">
            <v>1216</v>
          </cell>
          <cell r="F230" t="str">
            <v>Phó trưởng khoa</v>
          </cell>
        </row>
        <row r="231">
          <cell r="E231">
            <v>1221</v>
          </cell>
          <cell r="F231" t="str">
            <v>Phó Trưởng bộ môn</v>
          </cell>
        </row>
        <row r="232">
          <cell r="E232">
            <v>1217</v>
          </cell>
        </row>
        <row r="233">
          <cell r="E233">
            <v>1218</v>
          </cell>
        </row>
        <row r="234">
          <cell r="E234">
            <v>1219</v>
          </cell>
          <cell r="F234" t="str">
            <v xml:space="preserve">                                           </v>
          </cell>
        </row>
        <row r="235">
          <cell r="E235">
            <v>1222</v>
          </cell>
          <cell r="F235" t="str">
            <v>CTCĐ</v>
          </cell>
        </row>
        <row r="236">
          <cell r="E236">
            <v>1223</v>
          </cell>
          <cell r="IJ236">
            <v>0</v>
          </cell>
          <cell r="IK236">
            <v>0</v>
          </cell>
          <cell r="IL236">
            <v>0</v>
          </cell>
          <cell r="IM236">
            <v>0</v>
          </cell>
          <cell r="IN236">
            <v>0</v>
          </cell>
          <cell r="IO236">
            <v>0</v>
          </cell>
          <cell r="IP236">
            <v>0</v>
          </cell>
          <cell r="IQ236">
            <v>0</v>
          </cell>
          <cell r="IR236">
            <v>0</v>
          </cell>
          <cell r="IS236">
            <v>0</v>
          </cell>
        </row>
        <row r="238">
          <cell r="E238">
            <v>1204</v>
          </cell>
          <cell r="F238" t="str">
            <v>Trưởng bộ môn, BTCB</v>
          </cell>
          <cell r="GT238">
            <v>1</v>
          </cell>
        </row>
        <row r="239">
          <cell r="E239">
            <v>1210</v>
          </cell>
          <cell r="F239" t="str">
            <v>Phó Trưởng bộ môn</v>
          </cell>
        </row>
        <row r="240">
          <cell r="E240">
            <v>1205</v>
          </cell>
        </row>
        <row r="241">
          <cell r="E241">
            <v>1207</v>
          </cell>
        </row>
        <row r="242">
          <cell r="E242">
            <v>1208</v>
          </cell>
        </row>
        <row r="243">
          <cell r="E243">
            <v>1209</v>
          </cell>
        </row>
        <row r="244">
          <cell r="E244">
            <v>1211</v>
          </cell>
        </row>
        <row r="245">
          <cell r="E245">
            <v>1212</v>
          </cell>
          <cell r="IJ245">
            <v>0</v>
          </cell>
          <cell r="IK245">
            <v>0</v>
          </cell>
          <cell r="IL245">
            <v>0</v>
          </cell>
          <cell r="IM245">
            <v>0</v>
          </cell>
          <cell r="IN245">
            <v>0</v>
          </cell>
          <cell r="IO245">
            <v>0</v>
          </cell>
          <cell r="IP245">
            <v>0</v>
          </cell>
          <cell r="IQ245">
            <v>0</v>
          </cell>
          <cell r="IR245">
            <v>0</v>
          </cell>
          <cell r="IS245">
            <v>0</v>
          </cell>
        </row>
        <row r="246">
          <cell r="E246">
            <v>1213</v>
          </cell>
        </row>
        <row r="247">
          <cell r="E247">
            <v>1214</v>
          </cell>
        </row>
        <row r="248">
          <cell r="E248">
            <v>1764</v>
          </cell>
        </row>
        <row r="249">
          <cell r="E249">
            <v>1245</v>
          </cell>
          <cell r="F249" t="str">
            <v>Trưởng khoa,  BTCB,</v>
          </cell>
          <cell r="CX249">
            <v>1</v>
          </cell>
          <cell r="EQ249">
            <v>1</v>
          </cell>
          <cell r="GE249">
            <v>1</v>
          </cell>
          <cell r="GV249">
            <v>1</v>
          </cell>
          <cell r="HL249">
            <v>1</v>
          </cell>
        </row>
        <row r="250">
          <cell r="E250">
            <v>1246</v>
          </cell>
          <cell r="F250" t="str">
            <v>Phó BM THNV TrưởngBM</v>
          </cell>
        </row>
        <row r="251">
          <cell r="E251">
            <v>1244</v>
          </cell>
        </row>
        <row r="252">
          <cell r="E252">
            <v>1247</v>
          </cell>
          <cell r="FJ252">
            <v>1</v>
          </cell>
        </row>
        <row r="253">
          <cell r="E253">
            <v>1248</v>
          </cell>
        </row>
        <row r="254">
          <cell r="E254">
            <v>1249</v>
          </cell>
          <cell r="F254" t="str">
            <v>Trưởng bộ môn</v>
          </cell>
        </row>
        <row r="255">
          <cell r="E255">
            <v>1250</v>
          </cell>
        </row>
        <row r="256">
          <cell r="E256">
            <v>1251</v>
          </cell>
        </row>
        <row r="257">
          <cell r="E257">
            <v>1252</v>
          </cell>
        </row>
        <row r="258">
          <cell r="E258">
            <v>1253</v>
          </cell>
        </row>
        <row r="259">
          <cell r="E259">
            <v>1254</v>
          </cell>
        </row>
        <row r="260">
          <cell r="E260">
            <v>1255</v>
          </cell>
        </row>
        <row r="261">
          <cell r="E261">
            <v>1257</v>
          </cell>
        </row>
        <row r="262">
          <cell r="E262">
            <v>1230</v>
          </cell>
          <cell r="CN262">
            <v>1</v>
          </cell>
          <cell r="DG262">
            <v>1</v>
          </cell>
          <cell r="DR262">
            <v>1</v>
          </cell>
          <cell r="ED262">
            <v>1</v>
          </cell>
          <cell r="EH262">
            <v>1</v>
          </cell>
          <cell r="FI262">
            <v>1</v>
          </cell>
          <cell r="FJ262">
            <v>1</v>
          </cell>
          <cell r="FR262">
            <v>1</v>
          </cell>
          <cell r="GI262">
            <v>1</v>
          </cell>
          <cell r="HV262">
            <v>1</v>
          </cell>
        </row>
        <row r="263">
          <cell r="E263">
            <v>1231</v>
          </cell>
          <cell r="F263" t="str">
            <v>Phó Trưởng khoa, PBTCB</v>
          </cell>
          <cell r="DP263">
            <v>1</v>
          </cell>
          <cell r="FA263">
            <v>1</v>
          </cell>
          <cell r="GO263">
            <v>1</v>
          </cell>
        </row>
        <row r="264">
          <cell r="E264">
            <v>1232</v>
          </cell>
          <cell r="F264" t="str">
            <v>Trưởng bộ môn</v>
          </cell>
          <cell r="CW264">
            <v>1</v>
          </cell>
          <cell r="EQ264">
            <v>1</v>
          </cell>
          <cell r="GE264">
            <v>1</v>
          </cell>
          <cell r="HB264">
            <v>1</v>
          </cell>
          <cell r="HO264">
            <v>1</v>
          </cell>
        </row>
        <row r="265">
          <cell r="E265">
            <v>1233</v>
          </cell>
          <cell r="F265" t="str">
            <v>Phó Trưởng bộ môn</v>
          </cell>
          <cell r="FA265">
            <v>1</v>
          </cell>
          <cell r="GY265">
            <v>1</v>
          </cell>
        </row>
        <row r="266">
          <cell r="E266">
            <v>1234</v>
          </cell>
          <cell r="GV266">
            <v>1</v>
          </cell>
        </row>
        <row r="267">
          <cell r="E267">
            <v>1235</v>
          </cell>
          <cell r="F267" t="str">
            <v>CTCĐ</v>
          </cell>
        </row>
        <row r="268">
          <cell r="E268">
            <v>1236</v>
          </cell>
        </row>
        <row r="269">
          <cell r="E269">
            <v>1238</v>
          </cell>
        </row>
        <row r="270">
          <cell r="E270">
            <v>1239</v>
          </cell>
          <cell r="F270" t="str">
            <v>BTCĐ</v>
          </cell>
        </row>
        <row r="271">
          <cell r="E271">
            <v>1240</v>
          </cell>
        </row>
        <row r="272">
          <cell r="E272">
            <v>1241</v>
          </cell>
          <cell r="IJ272">
            <v>0</v>
          </cell>
          <cell r="IK272">
            <v>0</v>
          </cell>
          <cell r="IL272">
            <v>0</v>
          </cell>
          <cell r="IM272">
            <v>0</v>
          </cell>
          <cell r="IN272">
            <v>0</v>
          </cell>
          <cell r="IO272">
            <v>0</v>
          </cell>
          <cell r="IP272">
            <v>0</v>
          </cell>
          <cell r="IQ272">
            <v>0</v>
          </cell>
          <cell r="IR272">
            <v>0</v>
          </cell>
          <cell r="IS272">
            <v>0</v>
          </cell>
        </row>
        <row r="273">
          <cell r="E273">
            <v>1242</v>
          </cell>
          <cell r="IJ273">
            <v>0</v>
          </cell>
          <cell r="IK273">
            <v>0</v>
          </cell>
          <cell r="IL273">
            <v>0</v>
          </cell>
          <cell r="IM273">
            <v>0</v>
          </cell>
          <cell r="IN273">
            <v>0</v>
          </cell>
          <cell r="IO273">
            <v>0</v>
          </cell>
          <cell r="IP273">
            <v>0</v>
          </cell>
          <cell r="IQ273">
            <v>0</v>
          </cell>
          <cell r="IR273">
            <v>0</v>
          </cell>
          <cell r="IS273">
            <v>0</v>
          </cell>
        </row>
        <row r="274">
          <cell r="E274">
            <v>1243</v>
          </cell>
          <cell r="IJ274">
            <v>0</v>
          </cell>
          <cell r="IK274">
            <v>0</v>
          </cell>
          <cell r="IL274">
            <v>0</v>
          </cell>
          <cell r="IM274">
            <v>0</v>
          </cell>
          <cell r="IN274">
            <v>0</v>
          </cell>
          <cell r="IO274">
            <v>0</v>
          </cell>
          <cell r="IP274">
            <v>0</v>
          </cell>
          <cell r="IQ274">
            <v>0</v>
          </cell>
          <cell r="IR274">
            <v>0</v>
          </cell>
          <cell r="IS274">
            <v>0</v>
          </cell>
        </row>
        <row r="275">
          <cell r="E275">
            <v>1258</v>
          </cell>
          <cell r="F275" t="str">
            <v>Trưởng bộ môn</v>
          </cell>
          <cell r="GE275">
            <v>1</v>
          </cell>
        </row>
        <row r="276">
          <cell r="E276">
            <v>1259</v>
          </cell>
          <cell r="F276" t="str">
            <v>Phó Trưởng bộ môn</v>
          </cell>
          <cell r="FU276">
            <v>1</v>
          </cell>
        </row>
        <row r="277">
          <cell r="E277">
            <v>1260</v>
          </cell>
        </row>
        <row r="278">
          <cell r="E278">
            <v>1261</v>
          </cell>
          <cell r="HV278">
            <v>1</v>
          </cell>
          <cell r="IJ278">
            <v>0</v>
          </cell>
          <cell r="IK278">
            <v>0</v>
          </cell>
          <cell r="IL278">
            <v>0</v>
          </cell>
          <cell r="IM278">
            <v>0</v>
          </cell>
          <cell r="IN278">
            <v>1</v>
          </cell>
          <cell r="IO278">
            <v>0</v>
          </cell>
          <cell r="IP278">
            <v>0</v>
          </cell>
          <cell r="IQ278">
            <v>0</v>
          </cell>
          <cell r="IR278">
            <v>0</v>
          </cell>
          <cell r="IS278">
            <v>0</v>
          </cell>
        </row>
        <row r="279">
          <cell r="E279">
            <v>1262</v>
          </cell>
        </row>
        <row r="280">
          <cell r="E280">
            <v>1263</v>
          </cell>
        </row>
        <row r="281">
          <cell r="E281">
            <v>1264</v>
          </cell>
        </row>
        <row r="282">
          <cell r="AU282">
            <v>1</v>
          </cell>
          <cell r="BM282">
            <v>1</v>
          </cell>
          <cell r="CE282">
            <v>1</v>
          </cell>
          <cell r="CJ282">
            <v>1</v>
          </cell>
          <cell r="CZ282">
            <v>1</v>
          </cell>
          <cell r="DF282">
            <v>1</v>
          </cell>
          <cell r="DG282">
            <v>1</v>
          </cell>
          <cell r="DS282">
            <v>1</v>
          </cell>
          <cell r="DU282">
            <v>1</v>
          </cell>
          <cell r="DY282">
            <v>1</v>
          </cell>
          <cell r="EQ282">
            <v>1</v>
          </cell>
          <cell r="ER282">
            <v>1</v>
          </cell>
          <cell r="ES282">
            <v>1</v>
          </cell>
          <cell r="EW282">
            <v>1</v>
          </cell>
          <cell r="GG282">
            <v>1</v>
          </cell>
        </row>
        <row r="283">
          <cell r="E283">
            <v>1266</v>
          </cell>
        </row>
        <row r="284">
          <cell r="E284">
            <v>1267</v>
          </cell>
        </row>
        <row r="285">
          <cell r="E285">
            <v>1268</v>
          </cell>
        </row>
        <row r="286">
          <cell r="E286">
            <v>1269</v>
          </cell>
        </row>
        <row r="287">
          <cell r="E287">
            <v>1270</v>
          </cell>
          <cell r="F287" t="str">
            <v>Trưởng khoa, BTCB</v>
          </cell>
          <cell r="FJ287">
            <v>1</v>
          </cell>
          <cell r="GA287">
            <v>1</v>
          </cell>
          <cell r="HG287">
            <v>1</v>
          </cell>
        </row>
        <row r="288">
          <cell r="E288">
            <v>1271</v>
          </cell>
          <cell r="F288" t="str">
            <v>Trưởng bộ môn</v>
          </cell>
          <cell r="FJ288">
            <v>1</v>
          </cell>
        </row>
        <row r="289">
          <cell r="E289">
            <v>1272</v>
          </cell>
          <cell r="F289" t="str">
            <v>Phó Trưởng bộ môn</v>
          </cell>
          <cell r="GE289">
            <v>1</v>
          </cell>
        </row>
        <row r="290">
          <cell r="E290">
            <v>1273</v>
          </cell>
          <cell r="F290" t="str">
            <v>Chủ tịch Hội CCB</v>
          </cell>
        </row>
        <row r="291">
          <cell r="E291">
            <v>1274</v>
          </cell>
          <cell r="IJ291">
            <v>0</v>
          </cell>
          <cell r="IK291">
            <v>0</v>
          </cell>
          <cell r="IL291">
            <v>0</v>
          </cell>
          <cell r="IM291">
            <v>0</v>
          </cell>
          <cell r="IN291">
            <v>0</v>
          </cell>
          <cell r="IO291">
            <v>0</v>
          </cell>
          <cell r="IP291">
            <v>0</v>
          </cell>
          <cell r="IQ291">
            <v>0</v>
          </cell>
          <cell r="IR291">
            <v>0</v>
          </cell>
          <cell r="IS291">
            <v>0</v>
          </cell>
        </row>
        <row r="292">
          <cell r="E292">
            <v>1276</v>
          </cell>
          <cell r="IJ292">
            <v>0</v>
          </cell>
          <cell r="IK292">
            <v>0</v>
          </cell>
          <cell r="IL292">
            <v>0</v>
          </cell>
          <cell r="IM292">
            <v>0</v>
          </cell>
          <cell r="IN292">
            <v>0</v>
          </cell>
          <cell r="IO292">
            <v>0</v>
          </cell>
          <cell r="IP292">
            <v>0</v>
          </cell>
          <cell r="IQ292">
            <v>0</v>
          </cell>
          <cell r="IR292">
            <v>0</v>
          </cell>
          <cell r="IS292">
            <v>0</v>
          </cell>
        </row>
        <row r="293">
          <cell r="E293">
            <v>1277</v>
          </cell>
          <cell r="F293" t="str">
            <v>BTCĐ</v>
          </cell>
        </row>
        <row r="294">
          <cell r="E294">
            <v>1278</v>
          </cell>
          <cell r="F294" t="str">
            <v>CUV</v>
          </cell>
        </row>
        <row r="295">
          <cell r="E295">
            <v>1279</v>
          </cell>
        </row>
        <row r="296">
          <cell r="E296">
            <v>1280</v>
          </cell>
        </row>
        <row r="297">
          <cell r="E297">
            <v>1281</v>
          </cell>
        </row>
        <row r="298">
          <cell r="E298">
            <v>1282</v>
          </cell>
        </row>
        <row r="299">
          <cell r="E299">
            <v>1283</v>
          </cell>
          <cell r="F299" t="str">
            <v>CUV</v>
          </cell>
        </row>
        <row r="300">
          <cell r="E300">
            <v>1284</v>
          </cell>
        </row>
        <row r="301">
          <cell r="E301">
            <v>1285</v>
          </cell>
        </row>
        <row r="302">
          <cell r="E302">
            <v>1286</v>
          </cell>
          <cell r="F302" t="str">
            <v>Phó Trưởng khoa</v>
          </cell>
          <cell r="FJ302">
            <v>1</v>
          </cell>
          <cell r="HV302">
            <v>1</v>
          </cell>
        </row>
        <row r="303">
          <cell r="E303">
            <v>1287</v>
          </cell>
          <cell r="F303" t="str">
            <v>Trưởng bộ môn</v>
          </cell>
          <cell r="GE303">
            <v>1</v>
          </cell>
        </row>
        <row r="304">
          <cell r="E304">
            <v>1288</v>
          </cell>
          <cell r="F304" t="str">
            <v>CUV, CTCĐ</v>
          </cell>
        </row>
        <row r="305">
          <cell r="E305">
            <v>1289</v>
          </cell>
          <cell r="DG305">
            <v>1</v>
          </cell>
        </row>
        <row r="306">
          <cell r="E306">
            <v>1290</v>
          </cell>
          <cell r="GE306">
            <v>1</v>
          </cell>
        </row>
        <row r="307">
          <cell r="E307">
            <v>1291</v>
          </cell>
        </row>
        <row r="309">
          <cell r="E309">
            <v>1293</v>
          </cell>
          <cell r="F309" t="str">
            <v>Phó Trưởng bộ môn</v>
          </cell>
          <cell r="CW309">
            <v>1</v>
          </cell>
        </row>
        <row r="310">
          <cell r="E310">
            <v>1294</v>
          </cell>
          <cell r="F310" t="str">
            <v>Trưởng bộ môn</v>
          </cell>
          <cell r="DP310">
            <v>1</v>
          </cell>
          <cell r="EQ310">
            <v>1</v>
          </cell>
          <cell r="GE310">
            <v>1</v>
          </cell>
          <cell r="GT310">
            <v>1</v>
          </cell>
        </row>
        <row r="311">
          <cell r="E311">
            <v>1295</v>
          </cell>
          <cell r="F311" t="str">
            <v>PBTCB</v>
          </cell>
          <cell r="HV311">
            <v>1</v>
          </cell>
        </row>
        <row r="312">
          <cell r="E312">
            <v>1297</v>
          </cell>
          <cell r="HV312">
            <v>1</v>
          </cell>
        </row>
        <row r="313">
          <cell r="E313">
            <v>1298</v>
          </cell>
          <cell r="FA313">
            <v>1</v>
          </cell>
        </row>
        <row r="314">
          <cell r="E314">
            <v>1299</v>
          </cell>
        </row>
        <row r="315">
          <cell r="E315">
            <v>1300</v>
          </cell>
        </row>
        <row r="316">
          <cell r="E316">
            <v>1302</v>
          </cell>
          <cell r="F316" t="str">
            <v>Phó Trưởng khoa, BTCB</v>
          </cell>
          <cell r="DY316">
            <v>1</v>
          </cell>
          <cell r="HL316">
            <v>1</v>
          </cell>
        </row>
        <row r="317">
          <cell r="E317">
            <v>1303</v>
          </cell>
          <cell r="F317" t="str">
            <v>Trưởng bộ môn</v>
          </cell>
        </row>
        <row r="318">
          <cell r="E318">
            <v>1304</v>
          </cell>
          <cell r="DY318">
            <v>1</v>
          </cell>
          <cell r="ED318">
            <v>1</v>
          </cell>
          <cell r="FA318">
            <v>1</v>
          </cell>
          <cell r="FO318">
            <v>1</v>
          </cell>
          <cell r="GG318">
            <v>1</v>
          </cell>
        </row>
        <row r="319">
          <cell r="E319">
            <v>1305</v>
          </cell>
          <cell r="IJ319">
            <v>0</v>
          </cell>
          <cell r="IK319">
            <v>0</v>
          </cell>
          <cell r="IL319">
            <v>0</v>
          </cell>
          <cell r="IM319">
            <v>0</v>
          </cell>
          <cell r="IN319">
            <v>0</v>
          </cell>
          <cell r="IO319">
            <v>0</v>
          </cell>
          <cell r="IP319">
            <v>0</v>
          </cell>
          <cell r="IQ319">
            <v>0</v>
          </cell>
          <cell r="IR319">
            <v>0</v>
          </cell>
          <cell r="IS319">
            <v>0</v>
          </cell>
        </row>
        <row r="320">
          <cell r="E320">
            <v>1306</v>
          </cell>
          <cell r="IJ320">
            <v>0</v>
          </cell>
          <cell r="IK320">
            <v>0</v>
          </cell>
          <cell r="IL320">
            <v>0</v>
          </cell>
          <cell r="IM320">
            <v>0</v>
          </cell>
          <cell r="IN320">
            <v>0</v>
          </cell>
          <cell r="IO320">
            <v>0</v>
          </cell>
          <cell r="IP320">
            <v>0</v>
          </cell>
          <cell r="IQ320">
            <v>0</v>
          </cell>
          <cell r="IR320">
            <v>0</v>
          </cell>
          <cell r="IS320">
            <v>0</v>
          </cell>
        </row>
        <row r="321">
          <cell r="E321">
            <v>1307</v>
          </cell>
          <cell r="F321" t="str">
            <v>Trưởng bộ môn</v>
          </cell>
          <cell r="GE321">
            <v>1</v>
          </cell>
        </row>
        <row r="322">
          <cell r="E322">
            <v>1308</v>
          </cell>
          <cell r="F322" t="str">
            <v>Phó Trưởng bộ môn</v>
          </cell>
          <cell r="GE322">
            <v>1</v>
          </cell>
        </row>
        <row r="323">
          <cell r="E323">
            <v>1309</v>
          </cell>
        </row>
        <row r="324">
          <cell r="E324">
            <v>1310</v>
          </cell>
          <cell r="F324" t="str">
            <v>CUV</v>
          </cell>
          <cell r="DY324">
            <v>1</v>
          </cell>
          <cell r="GO324">
            <v>1</v>
          </cell>
        </row>
        <row r="325">
          <cell r="E325">
            <v>1311</v>
          </cell>
          <cell r="HL325">
            <v>1</v>
          </cell>
        </row>
        <row r="326">
          <cell r="E326">
            <v>1312</v>
          </cell>
          <cell r="F326" t="str">
            <v>BTCĐ</v>
          </cell>
          <cell r="GV326">
            <v>1</v>
          </cell>
        </row>
        <row r="327">
          <cell r="E327">
            <v>1313</v>
          </cell>
        </row>
        <row r="328">
          <cell r="E328">
            <v>1314</v>
          </cell>
        </row>
        <row r="329">
          <cell r="E329">
            <v>1315</v>
          </cell>
          <cell r="IJ329">
            <v>0</v>
          </cell>
          <cell r="IK329">
            <v>0</v>
          </cell>
          <cell r="IL329">
            <v>0</v>
          </cell>
          <cell r="IM329">
            <v>0</v>
          </cell>
          <cell r="IN329">
            <v>0</v>
          </cell>
          <cell r="IO329">
            <v>0</v>
          </cell>
          <cell r="IP329">
            <v>0</v>
          </cell>
          <cell r="IQ329">
            <v>0</v>
          </cell>
          <cell r="IR329">
            <v>0</v>
          </cell>
          <cell r="IS329">
            <v>0</v>
          </cell>
        </row>
        <row r="330">
          <cell r="E330">
            <v>1767</v>
          </cell>
        </row>
        <row r="331">
          <cell r="E331">
            <v>1317</v>
          </cell>
          <cell r="F331" t="str">
            <v>Trưởng bộ môn, CTCĐ</v>
          </cell>
        </row>
        <row r="332">
          <cell r="E332">
            <v>1316</v>
          </cell>
          <cell r="DP332">
            <v>1</v>
          </cell>
          <cell r="GY332">
            <v>1</v>
          </cell>
        </row>
        <row r="333">
          <cell r="E333">
            <v>1319</v>
          </cell>
          <cell r="DY333">
            <v>1</v>
          </cell>
          <cell r="GO333">
            <v>1</v>
          </cell>
        </row>
        <row r="334">
          <cell r="E334">
            <v>1320</v>
          </cell>
          <cell r="GV334">
            <v>1</v>
          </cell>
          <cell r="HL334">
            <v>1</v>
          </cell>
        </row>
        <row r="335">
          <cell r="E335">
            <v>1321</v>
          </cell>
          <cell r="HV335">
            <v>1</v>
          </cell>
        </row>
        <row r="336">
          <cell r="E336">
            <v>1322</v>
          </cell>
          <cell r="DY336">
            <v>1</v>
          </cell>
          <cell r="GE336">
            <v>1</v>
          </cell>
        </row>
        <row r="337">
          <cell r="E337">
            <v>1323</v>
          </cell>
          <cell r="IJ337">
            <v>0</v>
          </cell>
          <cell r="IK337">
            <v>0</v>
          </cell>
          <cell r="IL337">
            <v>0</v>
          </cell>
          <cell r="IM337">
            <v>0</v>
          </cell>
          <cell r="IN337">
            <v>0</v>
          </cell>
          <cell r="IO337">
            <v>0</v>
          </cell>
          <cell r="IP337">
            <v>0</v>
          </cell>
          <cell r="IQ337">
            <v>0</v>
          </cell>
          <cell r="IR337">
            <v>0</v>
          </cell>
          <cell r="IS337">
            <v>0</v>
          </cell>
        </row>
        <row r="338">
          <cell r="E338">
            <v>1324</v>
          </cell>
          <cell r="IJ338">
            <v>0</v>
          </cell>
          <cell r="IK338">
            <v>0</v>
          </cell>
          <cell r="IL338">
            <v>0</v>
          </cell>
          <cell r="IM338">
            <v>0</v>
          </cell>
          <cell r="IN338">
            <v>0</v>
          </cell>
          <cell r="IO338">
            <v>0</v>
          </cell>
          <cell r="IP338">
            <v>0</v>
          </cell>
          <cell r="IQ338">
            <v>0</v>
          </cell>
          <cell r="IR338">
            <v>0</v>
          </cell>
          <cell r="IS338">
            <v>0</v>
          </cell>
        </row>
        <row r="339">
          <cell r="E339">
            <v>1325</v>
          </cell>
          <cell r="F339" t="str">
            <v>Trưởng khoa, BTCB</v>
          </cell>
          <cell r="EQ339">
            <v>1</v>
          </cell>
          <cell r="HB339">
            <v>1</v>
          </cell>
          <cell r="HO339">
            <v>1</v>
          </cell>
          <cell r="IJ339">
            <v>0</v>
          </cell>
          <cell r="IK339">
            <v>0</v>
          </cell>
          <cell r="IL339">
            <v>0</v>
          </cell>
          <cell r="IM339">
            <v>0</v>
          </cell>
          <cell r="IN339">
            <v>0</v>
          </cell>
          <cell r="IO339">
            <v>0</v>
          </cell>
          <cell r="IP339">
            <v>2</v>
          </cell>
          <cell r="IQ339">
            <v>0</v>
          </cell>
          <cell r="IR339">
            <v>0</v>
          </cell>
          <cell r="IS339">
            <v>0</v>
          </cell>
        </row>
        <row r="340">
          <cell r="E340">
            <v>1326</v>
          </cell>
          <cell r="F340" t="str">
            <v>PCNV Trưởng bộ môn</v>
          </cell>
          <cell r="FJ340">
            <v>1</v>
          </cell>
        </row>
        <row r="341">
          <cell r="E341">
            <v>1327</v>
          </cell>
        </row>
        <row r="342">
          <cell r="E342">
            <v>1328</v>
          </cell>
          <cell r="F342" t="str">
            <v>PCNV Phó Trưởng bộ môn</v>
          </cell>
          <cell r="GE342">
            <v>1</v>
          </cell>
        </row>
        <row r="343">
          <cell r="E343">
            <v>1329</v>
          </cell>
        </row>
        <row r="344">
          <cell r="E344">
            <v>1330</v>
          </cell>
        </row>
        <row r="345">
          <cell r="E345">
            <v>1331</v>
          </cell>
        </row>
        <row r="346">
          <cell r="E346">
            <v>1332</v>
          </cell>
        </row>
        <row r="347">
          <cell r="E347">
            <v>1333</v>
          </cell>
          <cell r="IJ347">
            <v>0</v>
          </cell>
          <cell r="IK347">
            <v>0</v>
          </cell>
          <cell r="IL347">
            <v>0</v>
          </cell>
          <cell r="IM347">
            <v>0</v>
          </cell>
          <cell r="IN347">
            <v>0</v>
          </cell>
          <cell r="IO347">
            <v>0</v>
          </cell>
          <cell r="IP347">
            <v>0</v>
          </cell>
          <cell r="IQ347">
            <v>0</v>
          </cell>
          <cell r="IR347">
            <v>0</v>
          </cell>
          <cell r="IS347">
            <v>0</v>
          </cell>
        </row>
        <row r="348">
          <cell r="E348">
            <v>1334</v>
          </cell>
        </row>
        <row r="349">
          <cell r="E349">
            <v>1335</v>
          </cell>
          <cell r="F349" t="str">
            <v>CTCĐ</v>
          </cell>
        </row>
        <row r="350">
          <cell r="E350">
            <v>1336</v>
          </cell>
        </row>
        <row r="351">
          <cell r="E351">
            <v>1337</v>
          </cell>
          <cell r="IJ351">
            <v>0</v>
          </cell>
          <cell r="IK351">
            <v>0</v>
          </cell>
          <cell r="IL351">
            <v>0</v>
          </cell>
          <cell r="IM351">
            <v>0</v>
          </cell>
          <cell r="IN351">
            <v>0</v>
          </cell>
          <cell r="IO351">
            <v>0</v>
          </cell>
          <cell r="IP351">
            <v>0</v>
          </cell>
          <cell r="IQ351">
            <v>0</v>
          </cell>
          <cell r="IR351">
            <v>0</v>
          </cell>
          <cell r="IS351">
            <v>0</v>
          </cell>
        </row>
        <row r="352">
          <cell r="E352">
            <v>1338</v>
          </cell>
        </row>
        <row r="353">
          <cell r="E353">
            <v>1339</v>
          </cell>
        </row>
        <row r="355">
          <cell r="E355">
            <v>1341</v>
          </cell>
          <cell r="IJ355">
            <v>0</v>
          </cell>
          <cell r="IK355">
            <v>0</v>
          </cell>
          <cell r="IL355">
            <v>0</v>
          </cell>
          <cell r="IM355">
            <v>0</v>
          </cell>
          <cell r="IN355">
            <v>0</v>
          </cell>
          <cell r="IO355">
            <v>0</v>
          </cell>
          <cell r="IP355">
            <v>0</v>
          </cell>
          <cell r="IQ355">
            <v>0</v>
          </cell>
          <cell r="IR355">
            <v>0</v>
          </cell>
          <cell r="IS355">
            <v>0</v>
          </cell>
        </row>
        <row r="356">
          <cell r="E356">
            <v>1342</v>
          </cell>
          <cell r="IJ356">
            <v>0</v>
          </cell>
          <cell r="IK356">
            <v>0</v>
          </cell>
          <cell r="IL356">
            <v>0</v>
          </cell>
          <cell r="IM356">
            <v>0</v>
          </cell>
          <cell r="IN356">
            <v>0</v>
          </cell>
          <cell r="IO356">
            <v>0</v>
          </cell>
          <cell r="IP356">
            <v>0</v>
          </cell>
          <cell r="IQ356">
            <v>0</v>
          </cell>
          <cell r="IR356">
            <v>0</v>
          </cell>
          <cell r="IS356">
            <v>0</v>
          </cell>
        </row>
        <row r="357">
          <cell r="E357">
            <v>1343</v>
          </cell>
          <cell r="F357" t="str">
            <v>CV VP khoa</v>
          </cell>
          <cell r="IJ357">
            <v>0</v>
          </cell>
          <cell r="IK357">
            <v>0</v>
          </cell>
          <cell r="IL357">
            <v>0</v>
          </cell>
          <cell r="IM357">
            <v>0</v>
          </cell>
          <cell r="IN357">
            <v>0</v>
          </cell>
          <cell r="IO357">
            <v>0</v>
          </cell>
          <cell r="IP357">
            <v>0</v>
          </cell>
          <cell r="IQ357">
            <v>0</v>
          </cell>
          <cell r="IR357">
            <v>0</v>
          </cell>
          <cell r="IS357">
            <v>0</v>
          </cell>
        </row>
        <row r="358">
          <cell r="E358">
            <v>1344</v>
          </cell>
          <cell r="F358" t="str">
            <v>Phó Trưởng khoa, PTBCB</v>
          </cell>
          <cell r="FU358">
            <v>1</v>
          </cell>
        </row>
        <row r="359">
          <cell r="E359">
            <v>1345</v>
          </cell>
          <cell r="F359" t="str">
            <v>PCNV Trưởng bộ môn</v>
          </cell>
          <cell r="FJ359">
            <v>1</v>
          </cell>
        </row>
        <row r="360">
          <cell r="E360">
            <v>1346</v>
          </cell>
          <cell r="F360" t="str">
            <v>PCNV Phó Trưởng bộ môn</v>
          </cell>
        </row>
        <row r="361">
          <cell r="HB361">
            <v>1</v>
          </cell>
        </row>
        <row r="362">
          <cell r="E362">
            <v>1348</v>
          </cell>
        </row>
        <row r="363">
          <cell r="E363">
            <v>1349</v>
          </cell>
        </row>
        <row r="364">
          <cell r="E364">
            <v>1350</v>
          </cell>
          <cell r="GV364">
            <v>1</v>
          </cell>
        </row>
        <row r="365">
          <cell r="E365">
            <v>1351</v>
          </cell>
        </row>
        <row r="366">
          <cell r="E366">
            <v>1352</v>
          </cell>
        </row>
        <row r="367">
          <cell r="E367">
            <v>1353</v>
          </cell>
        </row>
        <row r="368">
          <cell r="E368">
            <v>1354</v>
          </cell>
        </row>
        <row r="369">
          <cell r="E369">
            <v>1355</v>
          </cell>
        </row>
        <row r="370">
          <cell r="E370">
            <v>1356</v>
          </cell>
        </row>
        <row r="371">
          <cell r="E371">
            <v>1357</v>
          </cell>
          <cell r="IJ371">
            <v>0</v>
          </cell>
          <cell r="IK371">
            <v>0</v>
          </cell>
          <cell r="IL371">
            <v>0</v>
          </cell>
          <cell r="IM371">
            <v>0</v>
          </cell>
          <cell r="IN371">
            <v>0</v>
          </cell>
          <cell r="IO371">
            <v>0</v>
          </cell>
          <cell r="IP371">
            <v>0</v>
          </cell>
          <cell r="IQ371">
            <v>0</v>
          </cell>
          <cell r="IR371">
            <v>0</v>
          </cell>
          <cell r="IS371">
            <v>0</v>
          </cell>
        </row>
        <row r="372">
          <cell r="E372">
            <v>1358</v>
          </cell>
        </row>
        <row r="373">
          <cell r="E373">
            <v>1359</v>
          </cell>
          <cell r="IJ373">
            <v>0</v>
          </cell>
          <cell r="IK373">
            <v>0</v>
          </cell>
          <cell r="IL373">
            <v>0</v>
          </cell>
          <cell r="IM373">
            <v>0</v>
          </cell>
          <cell r="IN373">
            <v>0</v>
          </cell>
          <cell r="IO373">
            <v>0</v>
          </cell>
          <cell r="IP373">
            <v>0</v>
          </cell>
          <cell r="IQ373">
            <v>0</v>
          </cell>
          <cell r="IR373">
            <v>0</v>
          </cell>
          <cell r="IS373">
            <v>0</v>
          </cell>
        </row>
        <row r="374">
          <cell r="E374">
            <v>1763</v>
          </cell>
        </row>
        <row r="375">
          <cell r="E375">
            <v>1360</v>
          </cell>
          <cell r="F375" t="str">
            <v>PCNV Trưởng bộ môn, 
CUV, BTCĐ</v>
          </cell>
        </row>
        <row r="376">
          <cell r="E376">
            <v>1361</v>
          </cell>
          <cell r="F376" t="str">
            <v>PCNV Phó Trưởng bộ môn</v>
          </cell>
        </row>
        <row r="377">
          <cell r="E377">
            <v>1362</v>
          </cell>
        </row>
        <row r="378">
          <cell r="E378">
            <v>1363</v>
          </cell>
          <cell r="GV378">
            <v>1</v>
          </cell>
        </row>
        <row r="379">
          <cell r="E379">
            <v>1364</v>
          </cell>
        </row>
        <row r="380">
          <cell r="E380">
            <v>1365</v>
          </cell>
        </row>
        <row r="381">
          <cell r="E381">
            <v>1366</v>
          </cell>
        </row>
        <row r="382">
          <cell r="E382">
            <v>1367</v>
          </cell>
        </row>
        <row r="383">
          <cell r="E383">
            <v>1368</v>
          </cell>
        </row>
        <row r="384">
          <cell r="E384">
            <v>1369</v>
          </cell>
        </row>
        <row r="385">
          <cell r="E385">
            <v>1370</v>
          </cell>
        </row>
        <row r="386">
          <cell r="E386">
            <v>1371</v>
          </cell>
        </row>
        <row r="387">
          <cell r="E387">
            <v>1372</v>
          </cell>
        </row>
        <row r="388">
          <cell r="E388">
            <v>1373</v>
          </cell>
        </row>
        <row r="389">
          <cell r="E389">
            <v>1374</v>
          </cell>
        </row>
        <row r="390">
          <cell r="E390">
            <v>1375</v>
          </cell>
        </row>
        <row r="391">
          <cell r="E391">
            <v>1376</v>
          </cell>
        </row>
        <row r="392">
          <cell r="E392">
            <v>1377</v>
          </cell>
        </row>
        <row r="393">
          <cell r="E393">
            <v>1378</v>
          </cell>
        </row>
        <row r="394">
          <cell r="E394">
            <v>1379</v>
          </cell>
          <cell r="IJ394">
            <v>0</v>
          </cell>
          <cell r="IK394">
            <v>0</v>
          </cell>
          <cell r="IL394">
            <v>0</v>
          </cell>
          <cell r="IM394">
            <v>0</v>
          </cell>
          <cell r="IN394">
            <v>0</v>
          </cell>
          <cell r="IO394">
            <v>0</v>
          </cell>
          <cell r="IP394">
            <v>0</v>
          </cell>
          <cell r="IQ394">
            <v>0</v>
          </cell>
          <cell r="IR394">
            <v>0</v>
          </cell>
          <cell r="IS394">
            <v>0</v>
          </cell>
        </row>
        <row r="395">
          <cell r="E395">
            <v>1380</v>
          </cell>
          <cell r="IJ395">
            <v>0</v>
          </cell>
          <cell r="IK395">
            <v>0</v>
          </cell>
          <cell r="IL395">
            <v>0</v>
          </cell>
          <cell r="IM395">
            <v>0</v>
          </cell>
          <cell r="IN395">
            <v>0</v>
          </cell>
          <cell r="IO395">
            <v>0</v>
          </cell>
          <cell r="IP395">
            <v>0</v>
          </cell>
          <cell r="IQ395">
            <v>0</v>
          </cell>
          <cell r="IR395">
            <v>0</v>
          </cell>
          <cell r="IS395">
            <v>0</v>
          </cell>
        </row>
        <row r="396">
          <cell r="E396">
            <v>1381</v>
          </cell>
          <cell r="F396" t="str">
            <v>Viện Trưởng, BTCB</v>
          </cell>
          <cell r="DP396">
            <v>1</v>
          </cell>
          <cell r="EH396">
            <v>1</v>
          </cell>
          <cell r="FJ396">
            <v>1</v>
          </cell>
          <cell r="FL396">
            <v>1</v>
          </cell>
        </row>
        <row r="397">
          <cell r="E397">
            <v>1382</v>
          </cell>
          <cell r="F397" t="str">
            <v>Tổ trưởng tổ văn phòng 
(giống TBM cấu thành)</v>
          </cell>
        </row>
        <row r="398">
          <cell r="E398">
            <v>1383</v>
          </cell>
        </row>
        <row r="399">
          <cell r="E399">
            <v>1606</v>
          </cell>
          <cell r="FJ399">
            <v>1</v>
          </cell>
        </row>
        <row r="400">
          <cell r="E400">
            <v>1573</v>
          </cell>
          <cell r="F400" t="str">
            <v>Trưởng ban</v>
          </cell>
          <cell r="GE400">
            <v>1</v>
          </cell>
        </row>
        <row r="401">
          <cell r="E401">
            <v>1579</v>
          </cell>
          <cell r="IJ401">
            <v>0</v>
          </cell>
          <cell r="IK401">
            <v>0</v>
          </cell>
          <cell r="IL401">
            <v>0</v>
          </cell>
          <cell r="IM401">
            <v>0</v>
          </cell>
          <cell r="IN401">
            <v>0</v>
          </cell>
          <cell r="IO401">
            <v>0</v>
          </cell>
          <cell r="IP401">
            <v>0</v>
          </cell>
          <cell r="IQ401">
            <v>0</v>
          </cell>
          <cell r="IR401">
            <v>0</v>
          </cell>
          <cell r="IS401">
            <v>0</v>
          </cell>
        </row>
        <row r="402">
          <cell r="E402">
            <v>1385</v>
          </cell>
          <cell r="F402" t="str">
            <v>Phó Viện trưởng, PBTCB</v>
          </cell>
          <cell r="FT402">
            <v>1</v>
          </cell>
        </row>
        <row r="403">
          <cell r="E403">
            <v>1042</v>
          </cell>
          <cell r="F403" t="str">
            <v>Trưởng ban truyển thông 
&amp; tuyển sinh</v>
          </cell>
        </row>
        <row r="404">
          <cell r="E404">
            <v>1386</v>
          </cell>
          <cell r="IJ404">
            <v>0</v>
          </cell>
          <cell r="IK404">
            <v>0</v>
          </cell>
          <cell r="IL404">
            <v>0</v>
          </cell>
          <cell r="IM404">
            <v>0</v>
          </cell>
          <cell r="IN404">
            <v>0</v>
          </cell>
          <cell r="IO404">
            <v>0</v>
          </cell>
          <cell r="IP404">
            <v>0</v>
          </cell>
          <cell r="IQ404">
            <v>0</v>
          </cell>
          <cell r="IR404">
            <v>0</v>
          </cell>
          <cell r="IS404">
            <v>0</v>
          </cell>
        </row>
        <row r="405">
          <cell r="E405">
            <v>1387</v>
          </cell>
          <cell r="IJ405">
            <v>0</v>
          </cell>
          <cell r="IK405">
            <v>0</v>
          </cell>
          <cell r="IL405">
            <v>0</v>
          </cell>
          <cell r="IM405">
            <v>0</v>
          </cell>
          <cell r="IN405">
            <v>0</v>
          </cell>
          <cell r="IO405">
            <v>0</v>
          </cell>
          <cell r="IP405">
            <v>0</v>
          </cell>
          <cell r="IQ405">
            <v>0</v>
          </cell>
          <cell r="IR405">
            <v>0</v>
          </cell>
          <cell r="IS405">
            <v>0</v>
          </cell>
        </row>
        <row r="406">
          <cell r="E406">
            <v>1388</v>
          </cell>
        </row>
        <row r="407">
          <cell r="E407">
            <v>1389</v>
          </cell>
          <cell r="F407" t="str">
            <v>Phó Viện trưởng</v>
          </cell>
        </row>
        <row r="408">
          <cell r="E408">
            <v>1390</v>
          </cell>
          <cell r="F408" t="str">
            <v>Trưởng ban QLĐT</v>
          </cell>
        </row>
        <row r="409">
          <cell r="E409">
            <v>1384</v>
          </cell>
          <cell r="IJ409">
            <v>0</v>
          </cell>
          <cell r="IK409">
            <v>0</v>
          </cell>
          <cell r="IL409">
            <v>0</v>
          </cell>
          <cell r="IM409">
            <v>0</v>
          </cell>
          <cell r="IN409">
            <v>0</v>
          </cell>
          <cell r="IO409">
            <v>0</v>
          </cell>
          <cell r="IP409">
            <v>0</v>
          </cell>
          <cell r="IQ409">
            <v>0</v>
          </cell>
          <cell r="IR409">
            <v>0</v>
          </cell>
          <cell r="IS409">
            <v>0</v>
          </cell>
        </row>
        <row r="410">
          <cell r="E410">
            <v>1395</v>
          </cell>
        </row>
        <row r="411">
          <cell r="E411">
            <v>1396</v>
          </cell>
        </row>
        <row r="412">
          <cell r="E412">
            <v>1760</v>
          </cell>
        </row>
        <row r="413">
          <cell r="E413">
            <v>1393</v>
          </cell>
          <cell r="IJ413">
            <v>0</v>
          </cell>
          <cell r="IK413">
            <v>0</v>
          </cell>
          <cell r="IL413">
            <v>0</v>
          </cell>
          <cell r="IM413">
            <v>0</v>
          </cell>
          <cell r="IN413">
            <v>0</v>
          </cell>
          <cell r="IO413">
            <v>0</v>
          </cell>
          <cell r="IP413">
            <v>0</v>
          </cell>
          <cell r="IQ413">
            <v>0</v>
          </cell>
          <cell r="IR413">
            <v>0</v>
          </cell>
          <cell r="IS413">
            <v>0</v>
          </cell>
        </row>
        <row r="414">
          <cell r="E414">
            <v>1397</v>
          </cell>
          <cell r="F414" t="str">
            <v>Trưởng bộ môn, CUV</v>
          </cell>
        </row>
        <row r="415">
          <cell r="E415">
            <v>1398</v>
          </cell>
        </row>
        <row r="416">
          <cell r="E416">
            <v>1400</v>
          </cell>
          <cell r="F416" t="str">
            <v>CUV, CTCĐ</v>
          </cell>
        </row>
        <row r="417">
          <cell r="E417">
            <v>1401</v>
          </cell>
          <cell r="GV417">
            <v>1</v>
          </cell>
        </row>
        <row r="418">
          <cell r="E418">
            <v>1402</v>
          </cell>
        </row>
        <row r="419">
          <cell r="E419">
            <v>1403</v>
          </cell>
        </row>
        <row r="420">
          <cell r="E420">
            <v>1404</v>
          </cell>
        </row>
        <row r="421">
          <cell r="E421">
            <v>1405</v>
          </cell>
        </row>
        <row r="422">
          <cell r="E422">
            <v>1406</v>
          </cell>
          <cell r="F422" t="str">
            <v>Trưởng khoa</v>
          </cell>
          <cell r="FT422">
            <v>1</v>
          </cell>
        </row>
        <row r="423">
          <cell r="E423">
            <v>1408</v>
          </cell>
          <cell r="F423" t="str">
            <v>Trưởng bộ môn</v>
          </cell>
          <cell r="GE423">
            <v>1</v>
          </cell>
        </row>
        <row r="424">
          <cell r="E424">
            <v>1728</v>
          </cell>
          <cell r="F424" t="str">
            <v>Phó Trưởng bộ môn</v>
          </cell>
          <cell r="IJ424">
            <v>0</v>
          </cell>
          <cell r="IK424">
            <v>0</v>
          </cell>
          <cell r="IL424">
            <v>0</v>
          </cell>
          <cell r="IM424">
            <v>0</v>
          </cell>
          <cell r="IN424">
            <v>0</v>
          </cell>
          <cell r="IO424">
            <v>0</v>
          </cell>
          <cell r="IP424">
            <v>0</v>
          </cell>
          <cell r="IQ424">
            <v>0</v>
          </cell>
          <cell r="IR424">
            <v>0</v>
          </cell>
          <cell r="IS424">
            <v>0</v>
          </cell>
        </row>
        <row r="425">
          <cell r="E425">
            <v>1412</v>
          </cell>
          <cell r="GE425">
            <v>1</v>
          </cell>
        </row>
        <row r="426">
          <cell r="E426">
            <v>1414</v>
          </cell>
        </row>
        <row r="427">
          <cell r="E427">
            <v>1415</v>
          </cell>
        </row>
        <row r="428">
          <cell r="E428">
            <v>1774</v>
          </cell>
        </row>
        <row r="429">
          <cell r="E429">
            <v>1775</v>
          </cell>
        </row>
        <row r="430">
          <cell r="E430">
            <v>1410</v>
          </cell>
          <cell r="F430" t="str">
            <v>Trưởng  bộ môn, CUV</v>
          </cell>
          <cell r="DP430">
            <v>1</v>
          </cell>
        </row>
        <row r="431">
          <cell r="E431">
            <v>1407</v>
          </cell>
          <cell r="F431" t="str">
            <v>Phó Trưởng khoa</v>
          </cell>
        </row>
        <row r="432">
          <cell r="E432">
            <v>1409</v>
          </cell>
        </row>
        <row r="433">
          <cell r="E433">
            <v>1413</v>
          </cell>
          <cell r="GE433">
            <v>1</v>
          </cell>
        </row>
        <row r="434">
          <cell r="E434">
            <v>1416</v>
          </cell>
          <cell r="F434" t="str">
            <v>BTCĐ</v>
          </cell>
          <cell r="GV434">
            <v>1</v>
          </cell>
        </row>
        <row r="435">
          <cell r="E435">
            <v>1789</v>
          </cell>
        </row>
        <row r="436">
          <cell r="E436">
            <v>1417</v>
          </cell>
          <cell r="F436" t="str">
            <v>Trưởng khoa</v>
          </cell>
          <cell r="GE436">
            <v>1</v>
          </cell>
          <cell r="GK436">
            <v>1</v>
          </cell>
          <cell r="HV436">
            <v>1</v>
          </cell>
        </row>
        <row r="437">
          <cell r="E437">
            <v>1418</v>
          </cell>
          <cell r="HV437">
            <v>1</v>
          </cell>
        </row>
        <row r="438">
          <cell r="E438">
            <v>1419</v>
          </cell>
          <cell r="F438" t="str">
            <v>Trưởng bộ môn, CUV</v>
          </cell>
          <cell r="GE438">
            <v>1</v>
          </cell>
        </row>
        <row r="439">
          <cell r="E439">
            <v>1420</v>
          </cell>
          <cell r="F439" t="str">
            <v>Phó Trưởng bộ môn</v>
          </cell>
          <cell r="HV439">
            <v>1</v>
          </cell>
        </row>
        <row r="440">
          <cell r="E440">
            <v>1421</v>
          </cell>
          <cell r="F440" t="str">
            <v>CTCĐ</v>
          </cell>
          <cell r="HV440">
            <v>1</v>
          </cell>
        </row>
        <row r="441">
          <cell r="E441">
            <v>1422</v>
          </cell>
        </row>
        <row r="442">
          <cell r="E442">
            <v>1423</v>
          </cell>
          <cell r="GE442">
            <v>1</v>
          </cell>
        </row>
        <row r="444">
          <cell r="E444">
            <v>1426</v>
          </cell>
        </row>
        <row r="445">
          <cell r="E445">
            <v>1427</v>
          </cell>
          <cell r="F445" t="str">
            <v>BTCĐ</v>
          </cell>
          <cell r="GV445">
            <v>1</v>
          </cell>
        </row>
        <row r="446">
          <cell r="E446">
            <v>1428</v>
          </cell>
        </row>
        <row r="447">
          <cell r="E447">
            <v>1429</v>
          </cell>
        </row>
        <row r="448">
          <cell r="E448">
            <v>1430</v>
          </cell>
        </row>
        <row r="449">
          <cell r="E449">
            <v>1757</v>
          </cell>
        </row>
        <row r="450">
          <cell r="E450">
            <v>1431</v>
          </cell>
          <cell r="F450" t="str">
            <v>Trưởng bộ môn, PBTCB 
phụ trách</v>
          </cell>
        </row>
        <row r="451">
          <cell r="E451">
            <v>1432</v>
          </cell>
          <cell r="IJ451">
            <v>0</v>
          </cell>
          <cell r="IK451">
            <v>0</v>
          </cell>
          <cell r="IL451">
            <v>0</v>
          </cell>
          <cell r="IM451">
            <v>0</v>
          </cell>
          <cell r="IN451">
            <v>0</v>
          </cell>
          <cell r="IO451">
            <v>0</v>
          </cell>
          <cell r="IP451">
            <v>0</v>
          </cell>
          <cell r="IQ451">
            <v>0</v>
          </cell>
          <cell r="IR451">
            <v>0</v>
          </cell>
          <cell r="IS451">
            <v>0</v>
          </cell>
        </row>
        <row r="452">
          <cell r="E452">
            <v>1433</v>
          </cell>
          <cell r="F452" t="str">
            <v>Phó Trưởng khoa</v>
          </cell>
        </row>
        <row r="453">
          <cell r="E453">
            <v>1434</v>
          </cell>
        </row>
        <row r="454">
          <cell r="E454">
            <v>1435</v>
          </cell>
        </row>
        <row r="455">
          <cell r="E455">
            <v>1436</v>
          </cell>
        </row>
        <row r="456">
          <cell r="E456">
            <v>1455</v>
          </cell>
          <cell r="F456" t="str">
            <v>Trưởng khoa, PBTCB
 (đang đi học )</v>
          </cell>
          <cell r="GV456">
            <v>1</v>
          </cell>
        </row>
        <row r="457">
          <cell r="E457">
            <v>1491</v>
          </cell>
          <cell r="F457" t="str">
            <v>Trưởng bộ môn</v>
          </cell>
          <cell r="FJ457">
            <v>1</v>
          </cell>
          <cell r="IJ457">
            <v>0</v>
          </cell>
          <cell r="IK457">
            <v>0</v>
          </cell>
          <cell r="IL457">
            <v>0</v>
          </cell>
          <cell r="IM457">
            <v>0</v>
          </cell>
          <cell r="IN457">
            <v>0</v>
          </cell>
          <cell r="IO457">
            <v>0</v>
          </cell>
          <cell r="IP457">
            <v>0</v>
          </cell>
          <cell r="IQ457">
            <v>0</v>
          </cell>
          <cell r="IR457">
            <v>0</v>
          </cell>
          <cell r="IS457">
            <v>0</v>
          </cell>
        </row>
        <row r="458">
          <cell r="E458">
            <v>1460</v>
          </cell>
          <cell r="F458" t="str">
            <v>BTCĐ</v>
          </cell>
        </row>
        <row r="459">
          <cell r="E459">
            <v>1466</v>
          </cell>
          <cell r="HV459">
            <v>1</v>
          </cell>
        </row>
        <row r="460">
          <cell r="E460">
            <v>1467</v>
          </cell>
          <cell r="F460" t="str">
            <v>CTCĐ</v>
          </cell>
          <cell r="EQ460">
            <v>1</v>
          </cell>
          <cell r="HV460">
            <v>1</v>
          </cell>
        </row>
        <row r="461">
          <cell r="E461">
            <v>1465</v>
          </cell>
        </row>
        <row r="462">
          <cell r="E462">
            <v>1470</v>
          </cell>
        </row>
        <row r="463">
          <cell r="E463">
            <v>1463</v>
          </cell>
        </row>
        <row r="464">
          <cell r="E464">
            <v>1471</v>
          </cell>
        </row>
        <row r="465">
          <cell r="E465">
            <v>1753</v>
          </cell>
        </row>
        <row r="466">
          <cell r="E466">
            <v>1461</v>
          </cell>
          <cell r="F466" t="str">
            <v>Trưởng bộ môn</v>
          </cell>
        </row>
        <row r="467">
          <cell r="E467">
            <v>1459</v>
          </cell>
          <cell r="F467" t="str">
            <v>Phó Trưởng bộ môn</v>
          </cell>
        </row>
        <row r="468">
          <cell r="E468">
            <v>1456</v>
          </cell>
          <cell r="FJ468">
            <v>1</v>
          </cell>
        </row>
        <row r="469">
          <cell r="E469">
            <v>1457</v>
          </cell>
          <cell r="F469" t="str">
            <v>BTCĐ</v>
          </cell>
        </row>
        <row r="470">
          <cell r="E470">
            <v>1458</v>
          </cell>
        </row>
        <row r="471">
          <cell r="E471">
            <v>1462</v>
          </cell>
        </row>
        <row r="472">
          <cell r="E472">
            <v>1464</v>
          </cell>
          <cell r="F472" t="str">
            <v>Phó trưởng khoa, BTCB,
 THNV Trưởng khoa từ 5/9</v>
          </cell>
          <cell r="FJ472">
            <v>1</v>
          </cell>
        </row>
        <row r="473">
          <cell r="E473">
            <v>1468</v>
          </cell>
          <cell r="HV473">
            <v>1</v>
          </cell>
        </row>
        <row r="474">
          <cell r="E474">
            <v>1469</v>
          </cell>
        </row>
        <row r="475">
          <cell r="E475">
            <v>1472</v>
          </cell>
          <cell r="F475" t="str">
            <v>Trưởng BM, BTCB</v>
          </cell>
          <cell r="GO475">
            <v>1</v>
          </cell>
        </row>
        <row r="476">
          <cell r="E476">
            <v>1473</v>
          </cell>
          <cell r="F476" t="str">
            <v>Phó Trưởng bộ môn</v>
          </cell>
        </row>
        <row r="478">
          <cell r="E478">
            <v>1475</v>
          </cell>
          <cell r="GV478">
            <v>1</v>
          </cell>
        </row>
        <row r="479">
          <cell r="E479">
            <v>1476</v>
          </cell>
        </row>
        <row r="480">
          <cell r="E480">
            <v>1477</v>
          </cell>
        </row>
        <row r="481">
          <cell r="E481">
            <v>1478</v>
          </cell>
          <cell r="F481" t="str">
            <v>TTCĐ</v>
          </cell>
        </row>
        <row r="482">
          <cell r="E482">
            <v>1479</v>
          </cell>
          <cell r="F482" t="str">
            <v>Trưởng BM thuộc Trường, 
BTCB</v>
          </cell>
          <cell r="FU482">
            <v>1</v>
          </cell>
        </row>
        <row r="483">
          <cell r="E483">
            <v>1480</v>
          </cell>
          <cell r="F483" t="str">
            <v>Phó Trưởng BM
 thuộc trường, CUV</v>
          </cell>
          <cell r="GO483">
            <v>1</v>
          </cell>
        </row>
        <row r="484">
          <cell r="E484">
            <v>1481</v>
          </cell>
          <cell r="HL484">
            <v>1</v>
          </cell>
        </row>
        <row r="485">
          <cell r="E485">
            <v>1482</v>
          </cell>
          <cell r="IJ485">
            <v>0</v>
          </cell>
          <cell r="IK485">
            <v>0</v>
          </cell>
          <cell r="IL485">
            <v>0</v>
          </cell>
          <cell r="IM485">
            <v>0</v>
          </cell>
          <cell r="IN485">
            <v>0</v>
          </cell>
          <cell r="IO485">
            <v>0</v>
          </cell>
          <cell r="IP485">
            <v>0</v>
          </cell>
          <cell r="IQ485">
            <v>0</v>
          </cell>
          <cell r="IR485">
            <v>0</v>
          </cell>
          <cell r="IS485">
            <v>0</v>
          </cell>
        </row>
        <row r="486">
          <cell r="E486">
            <v>1483</v>
          </cell>
        </row>
        <row r="487">
          <cell r="E487">
            <v>1484</v>
          </cell>
          <cell r="F487" t="str">
            <v>PBTCB, BTCĐ</v>
          </cell>
          <cell r="HV487">
            <v>1</v>
          </cell>
        </row>
        <row r="488">
          <cell r="E488">
            <v>1485</v>
          </cell>
        </row>
        <row r="489">
          <cell r="E489">
            <v>1486</v>
          </cell>
        </row>
        <row r="490">
          <cell r="E490">
            <v>1487</v>
          </cell>
        </row>
        <row r="491">
          <cell r="E491">
            <v>1488</v>
          </cell>
          <cell r="F491" t="str">
            <v>TTCĐ</v>
          </cell>
        </row>
        <row r="492">
          <cell r="E492">
            <v>1489</v>
          </cell>
        </row>
        <row r="493">
          <cell r="E493">
            <v>1490</v>
          </cell>
          <cell r="F493" t="str">
            <v>Viện trưởng, BTCB</v>
          </cell>
          <cell r="DG493">
            <v>1</v>
          </cell>
          <cell r="DY493">
            <v>1</v>
          </cell>
          <cell r="FA493">
            <v>1</v>
          </cell>
          <cell r="FL493">
            <v>1</v>
          </cell>
        </row>
        <row r="494">
          <cell r="E494">
            <v>1497</v>
          </cell>
          <cell r="F494" t="str">
            <v>Phó Viện trưởng</v>
          </cell>
          <cell r="GO494">
            <v>1</v>
          </cell>
        </row>
        <row r="495">
          <cell r="E495">
            <v>1109</v>
          </cell>
          <cell r="F495" t="str">
            <v>Phó Viện Trưởng</v>
          </cell>
          <cell r="GV495">
            <v>1</v>
          </cell>
          <cell r="HL495">
            <v>1</v>
          </cell>
        </row>
        <row r="496">
          <cell r="E496">
            <v>1492</v>
          </cell>
          <cell r="F496" t="str">
            <v>TTCĐ, Trưởng ban Đào tạo</v>
          </cell>
          <cell r="FU496">
            <v>1</v>
          </cell>
        </row>
        <row r="497">
          <cell r="E497">
            <v>1494</v>
          </cell>
        </row>
        <row r="498">
          <cell r="E498">
            <v>1495</v>
          </cell>
          <cell r="F498" t="str">
            <v>PBTCB</v>
          </cell>
          <cell r="GE498">
            <v>1</v>
          </cell>
        </row>
        <row r="499">
          <cell r="E499">
            <v>1496</v>
          </cell>
        </row>
        <row r="500">
          <cell r="E500">
            <v>1498</v>
          </cell>
        </row>
        <row r="501">
          <cell r="E501">
            <v>1499</v>
          </cell>
          <cell r="F501" t="str">
            <v>BTCĐ</v>
          </cell>
          <cell r="IJ501">
            <v>0</v>
          </cell>
          <cell r="IK501">
            <v>0</v>
          </cell>
          <cell r="IL501">
            <v>0</v>
          </cell>
          <cell r="IM501">
            <v>0</v>
          </cell>
          <cell r="IN501">
            <v>0</v>
          </cell>
          <cell r="IO501">
            <v>0</v>
          </cell>
          <cell r="IP501">
            <v>0</v>
          </cell>
          <cell r="IQ501">
            <v>0</v>
          </cell>
          <cell r="IR501">
            <v>0</v>
          </cell>
          <cell r="IS501">
            <v>0</v>
          </cell>
        </row>
        <row r="502">
          <cell r="E502">
            <v>1500</v>
          </cell>
          <cell r="IJ502">
            <v>0</v>
          </cell>
          <cell r="IK502">
            <v>0</v>
          </cell>
          <cell r="IL502">
            <v>0</v>
          </cell>
          <cell r="IM502">
            <v>0</v>
          </cell>
          <cell r="IN502">
            <v>0</v>
          </cell>
          <cell r="IO502">
            <v>0</v>
          </cell>
          <cell r="IP502">
            <v>0</v>
          </cell>
          <cell r="IQ502">
            <v>0</v>
          </cell>
          <cell r="IR502">
            <v>0</v>
          </cell>
          <cell r="IS502">
            <v>0</v>
          </cell>
        </row>
        <row r="503">
          <cell r="E503">
            <v>1531</v>
          </cell>
          <cell r="F503" t="str">
            <v>Trưởng ban truyền thông và tuyển sinh</v>
          </cell>
          <cell r="GE503">
            <v>1</v>
          </cell>
        </row>
        <row r="504">
          <cell r="E504">
            <v>1756</v>
          </cell>
        </row>
        <row r="505">
          <cell r="E505">
            <v>1617</v>
          </cell>
          <cell r="IJ505">
            <v>0</v>
          </cell>
          <cell r="IK505">
            <v>0</v>
          </cell>
          <cell r="IL505">
            <v>0</v>
          </cell>
          <cell r="IM505">
            <v>0</v>
          </cell>
          <cell r="IN505">
            <v>0</v>
          </cell>
          <cell r="IO505">
            <v>0</v>
          </cell>
          <cell r="IP505">
            <v>0</v>
          </cell>
          <cell r="IQ505">
            <v>0</v>
          </cell>
          <cell r="IR505">
            <v>0</v>
          </cell>
          <cell r="IS505">
            <v>0</v>
          </cell>
        </row>
        <row r="506">
          <cell r="E506">
            <v>1501</v>
          </cell>
          <cell r="F506" t="str">
            <v>Trưởng phòng, BTCB</v>
          </cell>
          <cell r="DG506">
            <v>1</v>
          </cell>
          <cell r="DY506">
            <v>1</v>
          </cell>
          <cell r="FL506">
            <v>1</v>
          </cell>
          <cell r="GE506">
            <v>1</v>
          </cell>
          <cell r="GK506">
            <v>1</v>
          </cell>
          <cell r="HU506">
            <v>1</v>
          </cell>
          <cell r="IJ506">
            <v>1</v>
          </cell>
          <cell r="IK506">
            <v>0</v>
          </cell>
          <cell r="IL506">
            <v>0</v>
          </cell>
          <cell r="IM506">
            <v>1</v>
          </cell>
          <cell r="IN506">
            <v>0</v>
          </cell>
          <cell r="IO506">
            <v>0</v>
          </cell>
          <cell r="IP506">
            <v>0</v>
          </cell>
          <cell r="IQ506">
            <v>0</v>
          </cell>
          <cell r="IR506">
            <v>0</v>
          </cell>
          <cell r="IS506">
            <v>0</v>
          </cell>
        </row>
        <row r="507">
          <cell r="E507">
            <v>1502</v>
          </cell>
          <cell r="F507" t="str">
            <v>Phó Trưởng phòng, PBTCB</v>
          </cell>
          <cell r="FA507">
            <v>1</v>
          </cell>
          <cell r="HV507">
            <v>1</v>
          </cell>
        </row>
        <row r="508">
          <cell r="E508">
            <v>1503</v>
          </cell>
          <cell r="F508" t="str">
            <v>Phó trưởng phòng, CUV</v>
          </cell>
          <cell r="EQ508">
            <v>1</v>
          </cell>
        </row>
        <row r="509">
          <cell r="E509">
            <v>1504</v>
          </cell>
          <cell r="FU509">
            <v>1</v>
          </cell>
          <cell r="HX509">
            <v>1</v>
          </cell>
        </row>
        <row r="510">
          <cell r="E510">
            <v>1505</v>
          </cell>
          <cell r="GO510">
            <v>1</v>
          </cell>
        </row>
        <row r="511">
          <cell r="E511">
            <v>1506</v>
          </cell>
          <cell r="IJ511">
            <v>0</v>
          </cell>
          <cell r="IK511">
            <v>0</v>
          </cell>
          <cell r="IL511">
            <v>0</v>
          </cell>
          <cell r="IM511">
            <v>0</v>
          </cell>
          <cell r="IN511">
            <v>0</v>
          </cell>
          <cell r="IO511">
            <v>0</v>
          </cell>
          <cell r="IP511">
            <v>0</v>
          </cell>
          <cell r="IQ511">
            <v>0</v>
          </cell>
          <cell r="IR511">
            <v>0</v>
          </cell>
          <cell r="IS511">
            <v>0</v>
          </cell>
        </row>
        <row r="512">
          <cell r="E512">
            <v>1507</v>
          </cell>
          <cell r="F512" t="str">
            <v>TTCĐ</v>
          </cell>
          <cell r="FJ512">
            <v>1</v>
          </cell>
        </row>
        <row r="513">
          <cell r="E513">
            <v>1556</v>
          </cell>
        </row>
        <row r="514">
          <cell r="E514">
            <v>1509</v>
          </cell>
          <cell r="IJ514">
            <v>0</v>
          </cell>
          <cell r="IK514">
            <v>0</v>
          </cell>
          <cell r="IL514">
            <v>0</v>
          </cell>
          <cell r="IM514">
            <v>0</v>
          </cell>
          <cell r="IN514">
            <v>0</v>
          </cell>
          <cell r="IO514">
            <v>0</v>
          </cell>
          <cell r="IP514">
            <v>0</v>
          </cell>
          <cell r="IQ514">
            <v>0</v>
          </cell>
          <cell r="IR514">
            <v>0</v>
          </cell>
          <cell r="IS514">
            <v>0</v>
          </cell>
        </row>
        <row r="515">
          <cell r="E515">
            <v>1510</v>
          </cell>
        </row>
        <row r="516">
          <cell r="E516">
            <v>1645</v>
          </cell>
        </row>
        <row r="517">
          <cell r="E517">
            <v>1532</v>
          </cell>
        </row>
        <row r="518">
          <cell r="E518">
            <v>1514</v>
          </cell>
          <cell r="F518" t="str">
            <v>Trưởng phòng</v>
          </cell>
          <cell r="EQ518">
            <v>1</v>
          </cell>
          <cell r="HR518">
            <v>1</v>
          </cell>
        </row>
        <row r="519">
          <cell r="E519">
            <v>1513</v>
          </cell>
          <cell r="F519" t="str">
            <v>Phó Trưởng phòng</v>
          </cell>
          <cell r="DY519">
            <v>1</v>
          </cell>
          <cell r="FU519">
            <v>1</v>
          </cell>
          <cell r="HA519">
            <v>1</v>
          </cell>
          <cell r="HN519">
            <v>1</v>
          </cell>
        </row>
        <row r="520">
          <cell r="E520">
            <v>1132</v>
          </cell>
          <cell r="F520" t="str">
            <v>Phó Trưởng phòng</v>
          </cell>
        </row>
        <row r="521">
          <cell r="E521">
            <v>1515</v>
          </cell>
        </row>
        <row r="522">
          <cell r="E522">
            <v>1516</v>
          </cell>
          <cell r="F522" t="str">
            <v>TTCĐ</v>
          </cell>
          <cell r="FJ522">
            <v>1</v>
          </cell>
        </row>
        <row r="523">
          <cell r="E523">
            <v>1517</v>
          </cell>
        </row>
        <row r="524">
          <cell r="E524">
            <v>1518</v>
          </cell>
          <cell r="F524" t="str">
            <v>BTCĐ</v>
          </cell>
          <cell r="HV524">
            <v>1</v>
          </cell>
          <cell r="IJ524">
            <v>0</v>
          </cell>
          <cell r="IK524">
            <v>0</v>
          </cell>
          <cell r="IL524">
            <v>0</v>
          </cell>
          <cell r="IM524">
            <v>0</v>
          </cell>
          <cell r="IN524">
            <v>1</v>
          </cell>
          <cell r="IO524">
            <v>0</v>
          </cell>
          <cell r="IP524">
            <v>0</v>
          </cell>
          <cell r="IQ524">
            <v>0</v>
          </cell>
          <cell r="IR524">
            <v>0</v>
          </cell>
          <cell r="IS524">
            <v>0</v>
          </cell>
        </row>
        <row r="525">
          <cell r="E525">
            <v>1519</v>
          </cell>
          <cell r="HL525">
            <v>1</v>
          </cell>
        </row>
        <row r="526">
          <cell r="E526">
            <v>1520</v>
          </cell>
        </row>
        <row r="527">
          <cell r="E527">
            <v>1521</v>
          </cell>
        </row>
        <row r="528">
          <cell r="E528">
            <v>1522</v>
          </cell>
          <cell r="IJ528">
            <v>0</v>
          </cell>
          <cell r="IK528">
            <v>0</v>
          </cell>
          <cell r="IL528">
            <v>0</v>
          </cell>
          <cell r="IM528">
            <v>0</v>
          </cell>
          <cell r="IN528">
            <v>0</v>
          </cell>
          <cell r="IO528">
            <v>0</v>
          </cell>
          <cell r="IP528">
            <v>0</v>
          </cell>
          <cell r="IQ528">
            <v>0</v>
          </cell>
          <cell r="IR528">
            <v>0</v>
          </cell>
          <cell r="IS528">
            <v>0</v>
          </cell>
        </row>
        <row r="529">
          <cell r="E529">
            <v>1523</v>
          </cell>
          <cell r="F529" t="str">
            <v>Trưởng phòng</v>
          </cell>
          <cell r="FA529">
            <v>1</v>
          </cell>
          <cell r="GK529">
            <v>1</v>
          </cell>
          <cell r="HV529">
            <v>1</v>
          </cell>
        </row>
        <row r="530">
          <cell r="E530">
            <v>1524</v>
          </cell>
          <cell r="F530" t="str">
            <v>Phó Trưởng phòng</v>
          </cell>
          <cell r="CW530">
            <v>1</v>
          </cell>
          <cell r="DY530">
            <v>1</v>
          </cell>
          <cell r="EJ530">
            <v>1</v>
          </cell>
          <cell r="FU530">
            <v>1</v>
          </cell>
        </row>
        <row r="531">
          <cell r="E531">
            <v>1525</v>
          </cell>
          <cell r="F531" t="str">
            <v>Phó trưởng phòng, BTCB</v>
          </cell>
          <cell r="DP531">
            <v>1</v>
          </cell>
          <cell r="EQ531">
            <v>1</v>
          </cell>
          <cell r="GE531">
            <v>1</v>
          </cell>
          <cell r="GG531">
            <v>1</v>
          </cell>
          <cell r="GQ531">
            <v>1</v>
          </cell>
          <cell r="IJ531">
            <v>0</v>
          </cell>
          <cell r="IK531">
            <v>0</v>
          </cell>
          <cell r="IL531">
            <v>0</v>
          </cell>
          <cell r="IM531">
            <v>0</v>
          </cell>
          <cell r="IN531">
            <v>0</v>
          </cell>
          <cell r="IO531">
            <v>0</v>
          </cell>
          <cell r="IP531">
            <v>1</v>
          </cell>
          <cell r="IQ531">
            <v>0</v>
          </cell>
          <cell r="IR531">
            <v>0</v>
          </cell>
          <cell r="IS531">
            <v>0</v>
          </cell>
        </row>
        <row r="532">
          <cell r="E532">
            <v>1563</v>
          </cell>
          <cell r="F532" t="str">
            <v>Phó trưởng phòng</v>
          </cell>
          <cell r="FT532">
            <v>1</v>
          </cell>
        </row>
        <row r="533">
          <cell r="E533">
            <v>1527</v>
          </cell>
          <cell r="F533" t="str">
            <v>PBTCB</v>
          </cell>
          <cell r="DP533">
            <v>1</v>
          </cell>
        </row>
        <row r="534">
          <cell r="E534">
            <v>1528</v>
          </cell>
        </row>
        <row r="535">
          <cell r="E535">
            <v>1529</v>
          </cell>
        </row>
        <row r="536">
          <cell r="E536">
            <v>1533</v>
          </cell>
        </row>
        <row r="537">
          <cell r="E537">
            <v>1534</v>
          </cell>
          <cell r="F537" t="str">
            <v>BTCĐ</v>
          </cell>
          <cell r="GO537">
            <v>1</v>
          </cell>
          <cell r="IJ537">
            <v>0</v>
          </cell>
          <cell r="IK537">
            <v>0</v>
          </cell>
          <cell r="IL537">
            <v>0</v>
          </cell>
          <cell r="IM537">
            <v>0</v>
          </cell>
          <cell r="IN537">
            <v>1</v>
          </cell>
          <cell r="IO537">
            <v>0</v>
          </cell>
          <cell r="IP537">
            <v>0</v>
          </cell>
          <cell r="IQ537">
            <v>0</v>
          </cell>
          <cell r="IR537">
            <v>0</v>
          </cell>
          <cell r="IS537">
            <v>0</v>
          </cell>
        </row>
        <row r="538">
          <cell r="E538">
            <v>1535</v>
          </cell>
          <cell r="IJ538">
            <v>0</v>
          </cell>
          <cell r="IK538">
            <v>0</v>
          </cell>
          <cell r="IL538">
            <v>0</v>
          </cell>
          <cell r="IM538">
            <v>0</v>
          </cell>
          <cell r="IN538">
            <v>0</v>
          </cell>
          <cell r="IO538">
            <v>0</v>
          </cell>
          <cell r="IP538">
            <v>0</v>
          </cell>
          <cell r="IQ538">
            <v>0</v>
          </cell>
          <cell r="IR538">
            <v>0</v>
          </cell>
          <cell r="IS538">
            <v>0</v>
          </cell>
        </row>
        <row r="539">
          <cell r="E539">
            <v>1536</v>
          </cell>
        </row>
        <row r="540">
          <cell r="E540">
            <v>1537</v>
          </cell>
          <cell r="F540" t="str">
            <v>Nghỉ không lương 6 tháng</v>
          </cell>
        </row>
        <row r="541">
          <cell r="E541">
            <v>1538</v>
          </cell>
          <cell r="IJ541">
            <v>0</v>
          </cell>
          <cell r="IK541">
            <v>0</v>
          </cell>
          <cell r="IL541">
            <v>0</v>
          </cell>
          <cell r="IM541">
            <v>0</v>
          </cell>
          <cell r="IN541">
            <v>0</v>
          </cell>
          <cell r="IO541">
            <v>0</v>
          </cell>
          <cell r="IP541">
            <v>0</v>
          </cell>
          <cell r="IQ541">
            <v>0</v>
          </cell>
          <cell r="IR541">
            <v>0</v>
          </cell>
          <cell r="IS541">
            <v>0</v>
          </cell>
        </row>
        <row r="542">
          <cell r="E542">
            <v>1539</v>
          </cell>
        </row>
        <row r="543">
          <cell r="E543">
            <v>1540</v>
          </cell>
          <cell r="F543" t="str">
            <v>TTCĐ</v>
          </cell>
          <cell r="GE543">
            <v>1</v>
          </cell>
          <cell r="IJ543">
            <v>0</v>
          </cell>
          <cell r="IK543">
            <v>0</v>
          </cell>
          <cell r="IL543">
            <v>0</v>
          </cell>
          <cell r="IM543">
            <v>0</v>
          </cell>
          <cell r="IN543">
            <v>0</v>
          </cell>
          <cell r="IO543">
            <v>0</v>
          </cell>
          <cell r="IP543">
            <v>0</v>
          </cell>
          <cell r="IQ543">
            <v>0</v>
          </cell>
          <cell r="IR543">
            <v>0</v>
          </cell>
          <cell r="IS543">
            <v>0</v>
          </cell>
        </row>
        <row r="544">
          <cell r="E544">
            <v>1541</v>
          </cell>
        </row>
        <row r="545">
          <cell r="E545">
            <v>1543</v>
          </cell>
        </row>
        <row r="546">
          <cell r="E546">
            <v>1568</v>
          </cell>
          <cell r="IJ546">
            <v>0</v>
          </cell>
          <cell r="IK546">
            <v>0</v>
          </cell>
          <cell r="IL546">
            <v>0</v>
          </cell>
          <cell r="IM546">
            <v>0</v>
          </cell>
          <cell r="IN546">
            <v>0</v>
          </cell>
          <cell r="IO546">
            <v>0</v>
          </cell>
          <cell r="IP546">
            <v>0</v>
          </cell>
          <cell r="IQ546">
            <v>0</v>
          </cell>
          <cell r="IR546">
            <v>0</v>
          </cell>
          <cell r="IS546">
            <v>0</v>
          </cell>
        </row>
        <row r="547">
          <cell r="E547">
            <v>1565</v>
          </cell>
          <cell r="GE547">
            <v>1</v>
          </cell>
          <cell r="IJ547">
            <v>0</v>
          </cell>
          <cell r="IK547">
            <v>0</v>
          </cell>
          <cell r="IL547">
            <v>0</v>
          </cell>
          <cell r="IM547">
            <v>0</v>
          </cell>
          <cell r="IN547">
            <v>0</v>
          </cell>
          <cell r="IO547">
            <v>0</v>
          </cell>
          <cell r="IP547">
            <v>0</v>
          </cell>
          <cell r="IQ547">
            <v>0</v>
          </cell>
          <cell r="IR547">
            <v>0</v>
          </cell>
          <cell r="IS547">
            <v>0</v>
          </cell>
        </row>
        <row r="548">
          <cell r="E548">
            <v>1703</v>
          </cell>
          <cell r="IJ548">
            <v>0</v>
          </cell>
          <cell r="IK548">
            <v>0</v>
          </cell>
          <cell r="IL548">
            <v>0</v>
          </cell>
          <cell r="IM548">
            <v>0</v>
          </cell>
          <cell r="IN548">
            <v>0</v>
          </cell>
          <cell r="IO548">
            <v>0</v>
          </cell>
          <cell r="IP548">
            <v>0</v>
          </cell>
          <cell r="IQ548">
            <v>0</v>
          </cell>
          <cell r="IR548">
            <v>0</v>
          </cell>
          <cell r="IS548">
            <v>0</v>
          </cell>
        </row>
        <row r="549">
          <cell r="E549">
            <v>1512</v>
          </cell>
          <cell r="F549" t="str">
            <v>Chánh văn phòng</v>
          </cell>
          <cell r="DY549">
            <v>1</v>
          </cell>
          <cell r="GE549">
            <v>1</v>
          </cell>
          <cell r="GH549">
            <v>1</v>
          </cell>
          <cell r="HA549">
            <v>1</v>
          </cell>
          <cell r="HL549">
            <v>1</v>
          </cell>
        </row>
        <row r="550">
          <cell r="E550">
            <v>1545</v>
          </cell>
          <cell r="F550" t="str">
            <v>Phó Chánh văn phòng</v>
          </cell>
          <cell r="GO550">
            <v>1</v>
          </cell>
        </row>
        <row r="551">
          <cell r="E551">
            <v>1567</v>
          </cell>
          <cell r="F551" t="str">
            <v>Phó Chánh văn phòng</v>
          </cell>
          <cell r="HL551">
            <v>1</v>
          </cell>
        </row>
        <row r="552">
          <cell r="E552">
            <v>1511</v>
          </cell>
          <cell r="BM552">
            <v>1</v>
          </cell>
          <cell r="CE552">
            <v>1</v>
          </cell>
          <cell r="CX552">
            <v>1</v>
          </cell>
          <cell r="DG552">
            <v>1</v>
          </cell>
          <cell r="DP552">
            <v>1</v>
          </cell>
          <cell r="DU552">
            <v>1</v>
          </cell>
          <cell r="EH552">
            <v>1</v>
          </cell>
          <cell r="FC552">
            <v>1</v>
          </cell>
          <cell r="GA552">
            <v>1</v>
          </cell>
          <cell r="GE552">
            <v>1</v>
          </cell>
          <cell r="HY552">
            <v>1</v>
          </cell>
        </row>
        <row r="553">
          <cell r="E553">
            <v>1546</v>
          </cell>
        </row>
        <row r="554">
          <cell r="E554">
            <v>1547</v>
          </cell>
        </row>
        <row r="555">
          <cell r="E555">
            <v>1548</v>
          </cell>
          <cell r="FU555">
            <v>1</v>
          </cell>
        </row>
        <row r="556">
          <cell r="E556">
            <v>1549</v>
          </cell>
        </row>
        <row r="557">
          <cell r="E557">
            <v>1550</v>
          </cell>
        </row>
        <row r="558">
          <cell r="E558">
            <v>1551</v>
          </cell>
          <cell r="F558" t="str">
            <v>TTCĐ</v>
          </cell>
          <cell r="HL558">
            <v>1</v>
          </cell>
          <cell r="IJ558">
            <v>0</v>
          </cell>
          <cell r="IK558">
            <v>0</v>
          </cell>
          <cell r="IL558">
            <v>0</v>
          </cell>
          <cell r="IM558">
            <v>0</v>
          </cell>
          <cell r="IN558">
            <v>1</v>
          </cell>
          <cell r="IO558">
            <v>0</v>
          </cell>
          <cell r="IP558">
            <v>0</v>
          </cell>
          <cell r="IQ558">
            <v>0</v>
          </cell>
          <cell r="IR558">
            <v>0</v>
          </cell>
          <cell r="IS558">
            <v>0</v>
          </cell>
        </row>
        <row r="559">
          <cell r="E559">
            <v>1552</v>
          </cell>
        </row>
        <row r="560">
          <cell r="E560">
            <v>1655</v>
          </cell>
        </row>
        <row r="561">
          <cell r="E561">
            <v>1595</v>
          </cell>
          <cell r="IJ561">
            <v>0</v>
          </cell>
          <cell r="IK561">
            <v>0</v>
          </cell>
          <cell r="IL561">
            <v>0</v>
          </cell>
          <cell r="IM561">
            <v>0</v>
          </cell>
          <cell r="IN561">
            <v>0</v>
          </cell>
          <cell r="IO561">
            <v>0</v>
          </cell>
          <cell r="IP561">
            <v>0</v>
          </cell>
          <cell r="IQ561">
            <v>0</v>
          </cell>
          <cell r="IR561">
            <v>0</v>
          </cell>
          <cell r="IS561">
            <v>0</v>
          </cell>
        </row>
        <row r="562">
          <cell r="E562">
            <v>1559</v>
          </cell>
        </row>
        <row r="563">
          <cell r="E563">
            <v>1587</v>
          </cell>
        </row>
        <row r="564">
          <cell r="E564">
            <v>1588</v>
          </cell>
          <cell r="EQ564">
            <v>1</v>
          </cell>
          <cell r="GO564">
            <v>1</v>
          </cell>
        </row>
        <row r="565">
          <cell r="E565">
            <v>1590</v>
          </cell>
          <cell r="HL565">
            <v>1</v>
          </cell>
        </row>
        <row r="566">
          <cell r="E566">
            <v>1203</v>
          </cell>
          <cell r="F566" t="str">
            <v>Trưởng phòng</v>
          </cell>
        </row>
        <row r="567">
          <cell r="E567">
            <v>1554</v>
          </cell>
          <cell r="F567" t="str">
            <v>Phó Trưởng phòng, BTCB</v>
          </cell>
          <cell r="FA567">
            <v>1</v>
          </cell>
          <cell r="GY567">
            <v>1</v>
          </cell>
          <cell r="HX567">
            <v>1</v>
          </cell>
        </row>
        <row r="568">
          <cell r="E568">
            <v>1220</v>
          </cell>
        </row>
        <row r="569">
          <cell r="E569">
            <v>1555</v>
          </cell>
          <cell r="CN569">
            <v>1</v>
          </cell>
          <cell r="DG569">
            <v>1</v>
          </cell>
          <cell r="EA569">
            <v>1</v>
          </cell>
          <cell r="EH569">
            <v>1</v>
          </cell>
          <cell r="FJ569">
            <v>1</v>
          </cell>
          <cell r="HL569">
            <v>1</v>
          </cell>
        </row>
        <row r="570">
          <cell r="E570">
            <v>1557</v>
          </cell>
        </row>
        <row r="571">
          <cell r="E571">
            <v>1558</v>
          </cell>
          <cell r="IJ571">
            <v>0</v>
          </cell>
          <cell r="IK571">
            <v>0</v>
          </cell>
          <cell r="IL571">
            <v>0</v>
          </cell>
          <cell r="IM571">
            <v>0</v>
          </cell>
          <cell r="IN571">
            <v>0</v>
          </cell>
          <cell r="IO571">
            <v>0</v>
          </cell>
          <cell r="IP571">
            <v>0</v>
          </cell>
          <cell r="IQ571">
            <v>0</v>
          </cell>
          <cell r="IR571">
            <v>0</v>
          </cell>
          <cell r="IS571">
            <v>0</v>
          </cell>
        </row>
        <row r="572">
          <cell r="E572">
            <v>1560</v>
          </cell>
          <cell r="F572" t="str">
            <v>Phó Trưởng phòng,
 PBTCB, TTCĐ</v>
          </cell>
          <cell r="FJ572">
            <v>1</v>
          </cell>
        </row>
        <row r="573">
          <cell r="E573">
            <v>1508</v>
          </cell>
        </row>
        <row r="574">
          <cell r="E574">
            <v>1561</v>
          </cell>
          <cell r="F574" t="str">
            <v>Trưởng phòng, PBTCB</v>
          </cell>
          <cell r="CX574">
            <v>1</v>
          </cell>
          <cell r="DG574">
            <v>1</v>
          </cell>
          <cell r="DY574">
            <v>1</v>
          </cell>
          <cell r="EA574">
            <v>1</v>
          </cell>
          <cell r="ED574">
            <v>1</v>
          </cell>
          <cell r="FA574">
            <v>1</v>
          </cell>
          <cell r="GA574">
            <v>1</v>
          </cell>
          <cell r="GO574">
            <v>1</v>
          </cell>
          <cell r="GR574">
            <v>1</v>
          </cell>
          <cell r="GX574">
            <v>1</v>
          </cell>
        </row>
        <row r="575">
          <cell r="E575">
            <v>1562</v>
          </cell>
          <cell r="F575" t="str">
            <v>Phó Trưởng phòng, BTCB</v>
          </cell>
        </row>
        <row r="576">
          <cell r="E576">
            <v>1571</v>
          </cell>
          <cell r="F576" t="str">
            <v>Phó trưởng phòng</v>
          </cell>
        </row>
        <row r="577">
          <cell r="E577">
            <v>1578</v>
          </cell>
          <cell r="IJ577">
            <v>0</v>
          </cell>
          <cell r="IK577">
            <v>0</v>
          </cell>
          <cell r="IL577">
            <v>0</v>
          </cell>
          <cell r="IM577">
            <v>0</v>
          </cell>
          <cell r="IN577">
            <v>0</v>
          </cell>
          <cell r="IO577">
            <v>0</v>
          </cell>
          <cell r="IP577">
            <v>0</v>
          </cell>
          <cell r="IQ577">
            <v>0</v>
          </cell>
          <cell r="IR577">
            <v>0</v>
          </cell>
          <cell r="IS577">
            <v>0</v>
          </cell>
        </row>
        <row r="578">
          <cell r="E578">
            <v>1580</v>
          </cell>
        </row>
        <row r="579">
          <cell r="E579">
            <v>1399</v>
          </cell>
        </row>
        <row r="580">
          <cell r="E580">
            <v>1564</v>
          </cell>
          <cell r="FU580">
            <v>1</v>
          </cell>
        </row>
        <row r="581">
          <cell r="E581">
            <v>1566</v>
          </cell>
          <cell r="F581" t="str">
            <v>TTCĐ</v>
          </cell>
          <cell r="FJ581">
            <v>1</v>
          </cell>
        </row>
        <row r="582">
          <cell r="E582">
            <v>1572</v>
          </cell>
          <cell r="GO582">
            <v>1</v>
          </cell>
        </row>
        <row r="583">
          <cell r="E583">
            <v>1178</v>
          </cell>
          <cell r="F583" t="str">
            <v>Trưởng phòng, BTĐTN</v>
          </cell>
          <cell r="GV583">
            <v>1</v>
          </cell>
        </row>
        <row r="584">
          <cell r="E584">
            <v>1570</v>
          </cell>
          <cell r="F584" t="str">
            <v>Phó trưởng phòng, PBTCB</v>
          </cell>
          <cell r="HL584">
            <v>1</v>
          </cell>
        </row>
        <row r="585">
          <cell r="E585">
            <v>1526</v>
          </cell>
          <cell r="F585" t="str">
            <v>Phó trưởng phòng</v>
          </cell>
          <cell r="EH585">
            <v>1</v>
          </cell>
          <cell r="EM585">
            <v>1</v>
          </cell>
          <cell r="GV585">
            <v>1</v>
          </cell>
        </row>
        <row r="586">
          <cell r="E586">
            <v>1574</v>
          </cell>
          <cell r="F586" t="str">
            <v>BTCĐ</v>
          </cell>
          <cell r="HL586">
            <v>1</v>
          </cell>
        </row>
        <row r="587">
          <cell r="E587">
            <v>1596</v>
          </cell>
        </row>
        <row r="588">
          <cell r="E588">
            <v>1575</v>
          </cell>
          <cell r="F588" t="str">
            <v>TTCĐ</v>
          </cell>
        </row>
        <row r="589">
          <cell r="E589">
            <v>1576</v>
          </cell>
          <cell r="HL589">
            <v>1</v>
          </cell>
        </row>
        <row r="590">
          <cell r="E590">
            <v>1530</v>
          </cell>
        </row>
        <row r="591">
          <cell r="E591">
            <v>1542</v>
          </cell>
        </row>
        <row r="592">
          <cell r="E592">
            <v>1577</v>
          </cell>
        </row>
        <row r="593">
          <cell r="E593">
            <v>1581</v>
          </cell>
        </row>
        <row r="594">
          <cell r="E594">
            <v>1544</v>
          </cell>
          <cell r="F594" t="str">
            <v>Trưởng phòng</v>
          </cell>
          <cell r="DP594">
            <v>1</v>
          </cell>
          <cell r="EH594">
            <v>1</v>
          </cell>
          <cell r="FJ594">
            <v>1</v>
          </cell>
          <cell r="HA594">
            <v>1</v>
          </cell>
          <cell r="HN594">
            <v>1</v>
          </cell>
        </row>
        <row r="595">
          <cell r="E595">
            <v>1583</v>
          </cell>
          <cell r="F595" t="str">
            <v>Phó trưởng phòng, PBTCB</v>
          </cell>
          <cell r="GE595">
            <v>1</v>
          </cell>
          <cell r="IJ595">
            <v>0</v>
          </cell>
          <cell r="IK595">
            <v>0</v>
          </cell>
          <cell r="IL595">
            <v>0</v>
          </cell>
          <cell r="IM595">
            <v>0</v>
          </cell>
          <cell r="IN595">
            <v>0</v>
          </cell>
          <cell r="IO595">
            <v>0</v>
          </cell>
          <cell r="IP595">
            <v>0</v>
          </cell>
          <cell r="IQ595">
            <v>0</v>
          </cell>
          <cell r="IR595">
            <v>0</v>
          </cell>
          <cell r="IS595">
            <v>0</v>
          </cell>
        </row>
        <row r="596">
          <cell r="E596">
            <v>1584</v>
          </cell>
          <cell r="F596" t="str">
            <v>Phó trưởng phòng, BTCB</v>
          </cell>
          <cell r="HL596">
            <v>1</v>
          </cell>
        </row>
        <row r="597">
          <cell r="E597">
            <v>1585</v>
          </cell>
          <cell r="F597" t="str">
            <v>BTCĐ, CUV</v>
          </cell>
          <cell r="HL597">
            <v>1</v>
          </cell>
        </row>
        <row r="598">
          <cell r="E598">
            <v>1586</v>
          </cell>
        </row>
        <row r="599">
          <cell r="E599">
            <v>1589</v>
          </cell>
          <cell r="F599" t="str">
            <v>TTCĐ</v>
          </cell>
          <cell r="GO599">
            <v>1</v>
          </cell>
        </row>
        <row r="600">
          <cell r="E600">
            <v>1591</v>
          </cell>
        </row>
        <row r="601">
          <cell r="E601">
            <v>1592</v>
          </cell>
          <cell r="IJ601">
            <v>0</v>
          </cell>
          <cell r="IK601">
            <v>0</v>
          </cell>
          <cell r="IL601">
            <v>0</v>
          </cell>
          <cell r="IM601">
            <v>0</v>
          </cell>
          <cell r="IN601">
            <v>0</v>
          </cell>
          <cell r="IO601">
            <v>0</v>
          </cell>
          <cell r="IP601">
            <v>0</v>
          </cell>
          <cell r="IQ601">
            <v>0</v>
          </cell>
          <cell r="IR601">
            <v>0</v>
          </cell>
          <cell r="IS601">
            <v>0</v>
          </cell>
        </row>
        <row r="602">
          <cell r="E602">
            <v>1593</v>
          </cell>
          <cell r="IJ602">
            <v>0</v>
          </cell>
          <cell r="IK602">
            <v>0</v>
          </cell>
          <cell r="IL602">
            <v>0</v>
          </cell>
          <cell r="IM602">
            <v>0</v>
          </cell>
          <cell r="IN602">
            <v>0</v>
          </cell>
          <cell r="IO602">
            <v>0</v>
          </cell>
          <cell r="IP602">
            <v>0</v>
          </cell>
          <cell r="IQ602">
            <v>0</v>
          </cell>
          <cell r="IR602">
            <v>0</v>
          </cell>
          <cell r="IS602">
            <v>0</v>
          </cell>
        </row>
        <row r="603">
          <cell r="E603">
            <v>1594</v>
          </cell>
          <cell r="IJ603">
            <v>0</v>
          </cell>
          <cell r="IK603">
            <v>0</v>
          </cell>
          <cell r="IL603">
            <v>0</v>
          </cell>
          <cell r="IM603">
            <v>0</v>
          </cell>
          <cell r="IN603">
            <v>0</v>
          </cell>
          <cell r="IO603">
            <v>0</v>
          </cell>
          <cell r="IP603">
            <v>0</v>
          </cell>
          <cell r="IQ603">
            <v>0</v>
          </cell>
          <cell r="IR603">
            <v>0</v>
          </cell>
          <cell r="IS603">
            <v>0</v>
          </cell>
        </row>
        <row r="604">
          <cell r="E604">
            <v>1301</v>
          </cell>
          <cell r="F604" t="str">
            <v>Trưởng phòng</v>
          </cell>
          <cell r="DG604">
            <v>1</v>
          </cell>
          <cell r="EQ604">
            <v>1</v>
          </cell>
          <cell r="FL604">
            <v>1</v>
          </cell>
          <cell r="HR604">
            <v>1</v>
          </cell>
        </row>
        <row r="605">
          <cell r="E605">
            <v>1598</v>
          </cell>
          <cell r="F605" t="str">
            <v>Phó trưởng phòng, PBTCB</v>
          </cell>
          <cell r="DY605">
            <v>1</v>
          </cell>
          <cell r="FJ605">
            <v>1</v>
          </cell>
          <cell r="HA605">
            <v>1</v>
          </cell>
          <cell r="HN605">
            <v>1</v>
          </cell>
        </row>
        <row r="606">
          <cell r="E606">
            <v>1599</v>
          </cell>
          <cell r="F606" t="str">
            <v>Phó trưởng phòng, CUV</v>
          </cell>
          <cell r="GE606">
            <v>1</v>
          </cell>
        </row>
        <row r="607">
          <cell r="E607">
            <v>1600</v>
          </cell>
          <cell r="FZ607">
            <v>1</v>
          </cell>
        </row>
        <row r="608">
          <cell r="E608">
            <v>1601</v>
          </cell>
          <cell r="F608" t="str">
            <v>CTCĐ</v>
          </cell>
          <cell r="GY608">
            <v>1</v>
          </cell>
        </row>
        <row r="609">
          <cell r="E609">
            <v>1602</v>
          </cell>
        </row>
        <row r="610">
          <cell r="E610">
            <v>1603</v>
          </cell>
          <cell r="HL610">
            <v>1</v>
          </cell>
        </row>
        <row r="611">
          <cell r="E611">
            <v>1604</v>
          </cell>
        </row>
        <row r="612">
          <cell r="E612">
            <v>1605</v>
          </cell>
          <cell r="HL612">
            <v>1</v>
          </cell>
        </row>
        <row r="613">
          <cell r="E613">
            <v>1607</v>
          </cell>
        </row>
        <row r="614">
          <cell r="E614">
            <v>1608</v>
          </cell>
        </row>
        <row r="615">
          <cell r="E615">
            <v>1609</v>
          </cell>
          <cell r="F615" t="str">
            <v>BTCĐ</v>
          </cell>
        </row>
        <row r="616">
          <cell r="E616">
            <v>1610</v>
          </cell>
        </row>
        <row r="617">
          <cell r="E617">
            <v>1611</v>
          </cell>
        </row>
        <row r="619">
          <cell r="E619">
            <v>1613</v>
          </cell>
        </row>
        <row r="620">
          <cell r="E620">
            <v>1614</v>
          </cell>
        </row>
        <row r="621">
          <cell r="E621">
            <v>1615</v>
          </cell>
          <cell r="IJ621">
            <v>0</v>
          </cell>
          <cell r="IK621">
            <v>0</v>
          </cell>
          <cell r="IL621">
            <v>0</v>
          </cell>
          <cell r="IM621">
            <v>0</v>
          </cell>
          <cell r="IN621">
            <v>0</v>
          </cell>
          <cell r="IO621">
            <v>0</v>
          </cell>
          <cell r="IP621">
            <v>0</v>
          </cell>
          <cell r="IQ621">
            <v>0</v>
          </cell>
          <cell r="IR621">
            <v>0</v>
          </cell>
          <cell r="IS621">
            <v>0</v>
          </cell>
        </row>
        <row r="622">
          <cell r="E622">
            <v>1616</v>
          </cell>
        </row>
        <row r="623">
          <cell r="E623">
            <v>1618</v>
          </cell>
        </row>
        <row r="624">
          <cell r="E624">
            <v>1619</v>
          </cell>
        </row>
        <row r="625">
          <cell r="E625">
            <v>1620</v>
          </cell>
        </row>
        <row r="626">
          <cell r="E626">
            <v>1411</v>
          </cell>
        </row>
        <row r="627">
          <cell r="E627">
            <v>1392</v>
          </cell>
        </row>
        <row r="628">
          <cell r="E628">
            <v>1621</v>
          </cell>
          <cell r="F628" t="str">
            <v>Trưởng phòng, BTCB</v>
          </cell>
          <cell r="GO628">
            <v>1</v>
          </cell>
        </row>
        <row r="629">
          <cell r="E629">
            <v>1622</v>
          </cell>
          <cell r="F629" t="str">
            <v>Phó trưởng phòng</v>
          </cell>
        </row>
        <row r="630">
          <cell r="E630">
            <v>1623</v>
          </cell>
          <cell r="F630" t="str">
            <v>Phó trưởng phòng, PBTCB</v>
          </cell>
        </row>
        <row r="631">
          <cell r="E631">
            <v>1626</v>
          </cell>
        </row>
        <row r="632">
          <cell r="E632">
            <v>1627</v>
          </cell>
          <cell r="F632" t="str">
            <v>THNV Tổ trưởng tổ điện nước</v>
          </cell>
        </row>
        <row r="633">
          <cell r="E633">
            <v>1629</v>
          </cell>
        </row>
        <row r="634">
          <cell r="E634">
            <v>1630</v>
          </cell>
        </row>
        <row r="635">
          <cell r="E635">
            <v>1631</v>
          </cell>
        </row>
        <row r="636">
          <cell r="E636">
            <v>1632</v>
          </cell>
          <cell r="F636" t="str">
            <v>BTCĐ</v>
          </cell>
        </row>
        <row r="637">
          <cell r="E637">
            <v>1633</v>
          </cell>
        </row>
        <row r="638">
          <cell r="E638">
            <v>1634</v>
          </cell>
          <cell r="IJ638">
            <v>0</v>
          </cell>
          <cell r="IK638">
            <v>0</v>
          </cell>
          <cell r="IL638">
            <v>0</v>
          </cell>
          <cell r="IM638">
            <v>0</v>
          </cell>
          <cell r="IN638">
            <v>0</v>
          </cell>
          <cell r="IO638">
            <v>0</v>
          </cell>
          <cell r="IP638">
            <v>0</v>
          </cell>
          <cell r="IQ638">
            <v>0</v>
          </cell>
          <cell r="IR638">
            <v>0</v>
          </cell>
          <cell r="IS638">
            <v>0</v>
          </cell>
        </row>
        <row r="639">
          <cell r="E639">
            <v>1635</v>
          </cell>
          <cell r="IJ639">
            <v>0</v>
          </cell>
          <cell r="IK639">
            <v>0</v>
          </cell>
          <cell r="IL639">
            <v>0</v>
          </cell>
          <cell r="IM639">
            <v>0</v>
          </cell>
          <cell r="IN639">
            <v>0</v>
          </cell>
          <cell r="IO639">
            <v>0</v>
          </cell>
          <cell r="IP639">
            <v>0</v>
          </cell>
          <cell r="IQ639">
            <v>0</v>
          </cell>
          <cell r="IR639">
            <v>0</v>
          </cell>
          <cell r="IS639">
            <v>0</v>
          </cell>
        </row>
        <row r="640">
          <cell r="E640">
            <v>1762</v>
          </cell>
        </row>
        <row r="641">
          <cell r="E641">
            <v>1636</v>
          </cell>
        </row>
        <row r="642">
          <cell r="E642">
            <v>1637</v>
          </cell>
          <cell r="F642" t="str">
            <v xml:space="preserve">Tổ trưởng tổ QLHTLH </v>
          </cell>
        </row>
        <row r="643">
          <cell r="E643">
            <v>1638</v>
          </cell>
        </row>
        <row r="644">
          <cell r="E644">
            <v>1639</v>
          </cell>
        </row>
        <row r="645">
          <cell r="E645">
            <v>1641</v>
          </cell>
          <cell r="IJ645">
            <v>0</v>
          </cell>
          <cell r="IK645">
            <v>0</v>
          </cell>
          <cell r="IL645">
            <v>0</v>
          </cell>
          <cell r="IM645">
            <v>0</v>
          </cell>
          <cell r="IN645">
            <v>0</v>
          </cell>
          <cell r="IO645">
            <v>0</v>
          </cell>
          <cell r="IP645">
            <v>0</v>
          </cell>
          <cell r="IQ645">
            <v>0</v>
          </cell>
          <cell r="IR645">
            <v>0</v>
          </cell>
          <cell r="IS645">
            <v>0</v>
          </cell>
        </row>
        <row r="646">
          <cell r="E646">
            <v>1642</v>
          </cell>
          <cell r="F646" t="str">
            <v>CUV, CTCĐ</v>
          </cell>
        </row>
        <row r="647">
          <cell r="E647">
            <v>1643</v>
          </cell>
          <cell r="IJ647">
            <v>0</v>
          </cell>
          <cell r="IK647">
            <v>0</v>
          </cell>
          <cell r="IL647">
            <v>0</v>
          </cell>
          <cell r="IM647">
            <v>0</v>
          </cell>
          <cell r="IN647">
            <v>0</v>
          </cell>
          <cell r="IO647">
            <v>0</v>
          </cell>
          <cell r="IP647">
            <v>0</v>
          </cell>
          <cell r="IQ647">
            <v>0</v>
          </cell>
          <cell r="IR647">
            <v>0</v>
          </cell>
          <cell r="IS647">
            <v>0</v>
          </cell>
        </row>
        <row r="648">
          <cell r="E648">
            <v>1644</v>
          </cell>
        </row>
        <row r="649">
          <cell r="E649">
            <v>1646</v>
          </cell>
        </row>
        <row r="650">
          <cell r="E650">
            <v>1647</v>
          </cell>
        </row>
        <row r="651">
          <cell r="E651">
            <v>1648</v>
          </cell>
        </row>
        <row r="652">
          <cell r="E652">
            <v>1649</v>
          </cell>
          <cell r="IJ652">
            <v>0</v>
          </cell>
          <cell r="IK652">
            <v>0</v>
          </cell>
          <cell r="IL652">
            <v>0</v>
          </cell>
          <cell r="IM652">
            <v>0</v>
          </cell>
          <cell r="IN652">
            <v>0</v>
          </cell>
          <cell r="IO652">
            <v>0</v>
          </cell>
          <cell r="IP652">
            <v>0</v>
          </cell>
          <cell r="IQ652">
            <v>0</v>
          </cell>
          <cell r="IR652">
            <v>0</v>
          </cell>
          <cell r="IS652">
            <v>0</v>
          </cell>
        </row>
        <row r="653">
          <cell r="E653">
            <v>1650</v>
          </cell>
        </row>
        <row r="654">
          <cell r="E654">
            <v>1651</v>
          </cell>
          <cell r="IJ654">
            <v>0</v>
          </cell>
          <cell r="IK654">
            <v>0</v>
          </cell>
          <cell r="IL654">
            <v>0</v>
          </cell>
          <cell r="IM654">
            <v>0</v>
          </cell>
          <cell r="IN654">
            <v>0</v>
          </cell>
          <cell r="IO654">
            <v>0</v>
          </cell>
          <cell r="IP654">
            <v>0</v>
          </cell>
          <cell r="IQ654">
            <v>0</v>
          </cell>
          <cell r="IR654">
            <v>0</v>
          </cell>
          <cell r="IS654">
            <v>0</v>
          </cell>
        </row>
        <row r="655">
          <cell r="E655">
            <v>1652</v>
          </cell>
        </row>
        <row r="656">
          <cell r="E656">
            <v>1653</v>
          </cell>
        </row>
        <row r="657">
          <cell r="E657">
            <v>1654</v>
          </cell>
        </row>
        <row r="658">
          <cell r="E658">
            <v>1656</v>
          </cell>
        </row>
        <row r="659">
          <cell r="E659">
            <v>1657</v>
          </cell>
        </row>
        <row r="660">
          <cell r="E660">
            <v>1658</v>
          </cell>
        </row>
        <row r="661">
          <cell r="E661">
            <v>1659</v>
          </cell>
        </row>
        <row r="662">
          <cell r="E662">
            <v>1662</v>
          </cell>
        </row>
        <row r="663">
          <cell r="E663">
            <v>1663</v>
          </cell>
        </row>
        <row r="664">
          <cell r="E664">
            <v>1664</v>
          </cell>
        </row>
        <row r="665">
          <cell r="E665">
            <v>1665</v>
          </cell>
        </row>
        <row r="666">
          <cell r="E666">
            <v>1666</v>
          </cell>
        </row>
        <row r="667">
          <cell r="E667">
            <v>1667</v>
          </cell>
          <cell r="F667" t="str">
            <v>Tổng biên tập</v>
          </cell>
          <cell r="BV667">
            <v>1</v>
          </cell>
          <cell r="CN667">
            <v>1</v>
          </cell>
          <cell r="CZ667">
            <v>1</v>
          </cell>
          <cell r="DF667">
            <v>1</v>
          </cell>
          <cell r="DG667">
            <v>1</v>
          </cell>
          <cell r="DL667">
            <v>1</v>
          </cell>
          <cell r="DS667">
            <v>1</v>
          </cell>
          <cell r="DY667">
            <v>1</v>
          </cell>
          <cell r="EQ667">
            <v>1</v>
          </cell>
          <cell r="EW667">
            <v>1</v>
          </cell>
          <cell r="FP667">
            <v>1</v>
          </cell>
          <cell r="FV667">
            <v>1</v>
          </cell>
          <cell r="FY667">
            <v>1</v>
          </cell>
          <cell r="GA667">
            <v>1</v>
          </cell>
          <cell r="GE667">
            <v>1</v>
          </cell>
          <cell r="GI667">
            <v>1</v>
          </cell>
          <cell r="GW667">
            <v>1</v>
          </cell>
        </row>
        <row r="668">
          <cell r="E668">
            <v>1668</v>
          </cell>
          <cell r="GE668">
            <v>1</v>
          </cell>
        </row>
        <row r="669">
          <cell r="E669">
            <v>1710</v>
          </cell>
          <cell r="F669" t="str">
            <v>THNV Phó Tổng biên tập</v>
          </cell>
        </row>
        <row r="670">
          <cell r="E670">
            <v>1669</v>
          </cell>
          <cell r="F670" t="str">
            <v>Trưởng ban trị sự, BTCB</v>
          </cell>
        </row>
        <row r="671">
          <cell r="E671">
            <v>1670</v>
          </cell>
          <cell r="F671" t="str">
            <v>TTCĐ</v>
          </cell>
          <cell r="IJ671">
            <v>0</v>
          </cell>
          <cell r="IK671">
            <v>0</v>
          </cell>
          <cell r="IL671">
            <v>0</v>
          </cell>
          <cell r="IM671">
            <v>0</v>
          </cell>
          <cell r="IN671">
            <v>0</v>
          </cell>
          <cell r="IO671">
            <v>0</v>
          </cell>
          <cell r="IP671">
            <v>0</v>
          </cell>
          <cell r="IQ671">
            <v>0</v>
          </cell>
          <cell r="IR671">
            <v>0</v>
          </cell>
          <cell r="IS671">
            <v>0</v>
          </cell>
        </row>
        <row r="672">
          <cell r="E672">
            <v>1671</v>
          </cell>
          <cell r="F672" t="str">
            <v>Giám đốc</v>
          </cell>
          <cell r="EH672">
            <v>1</v>
          </cell>
          <cell r="FU672">
            <v>1</v>
          </cell>
          <cell r="HB672">
            <v>1</v>
          </cell>
          <cell r="HO672">
            <v>1</v>
          </cell>
        </row>
        <row r="673">
          <cell r="E673">
            <v>1672</v>
          </cell>
          <cell r="F673" t="str">
            <v>Phó Giám đốc, BTCB</v>
          </cell>
          <cell r="EQ673">
            <v>1</v>
          </cell>
        </row>
        <row r="674">
          <cell r="E674">
            <v>1674</v>
          </cell>
          <cell r="F674" t="str">
            <v>TTCĐ</v>
          </cell>
        </row>
        <row r="675">
          <cell r="E675">
            <v>1675</v>
          </cell>
          <cell r="FA675">
            <v>1</v>
          </cell>
          <cell r="IJ675">
            <v>0</v>
          </cell>
          <cell r="IK675">
            <v>0</v>
          </cell>
          <cell r="IL675">
            <v>0</v>
          </cell>
          <cell r="IM675">
            <v>0</v>
          </cell>
          <cell r="IN675">
            <v>0</v>
          </cell>
          <cell r="IO675">
            <v>0</v>
          </cell>
          <cell r="IP675">
            <v>0</v>
          </cell>
          <cell r="IQ675">
            <v>0</v>
          </cell>
          <cell r="IR675">
            <v>0</v>
          </cell>
          <cell r="IS675">
            <v>0</v>
          </cell>
        </row>
        <row r="676">
          <cell r="E676">
            <v>1677</v>
          </cell>
        </row>
        <row r="677">
          <cell r="E677">
            <v>1678</v>
          </cell>
          <cell r="HQ677">
            <v>1</v>
          </cell>
        </row>
        <row r="678">
          <cell r="E678">
            <v>1679</v>
          </cell>
          <cell r="IJ678">
            <v>0</v>
          </cell>
          <cell r="IK678">
            <v>0</v>
          </cell>
          <cell r="IL678">
            <v>0</v>
          </cell>
          <cell r="IM678">
            <v>0</v>
          </cell>
          <cell r="IN678">
            <v>0</v>
          </cell>
          <cell r="IO678">
            <v>0</v>
          </cell>
          <cell r="IP678">
            <v>0</v>
          </cell>
          <cell r="IQ678">
            <v>0</v>
          </cell>
          <cell r="IR678">
            <v>0</v>
          </cell>
          <cell r="IS678">
            <v>0</v>
          </cell>
        </row>
        <row r="679">
          <cell r="E679">
            <v>1676</v>
          </cell>
        </row>
        <row r="680">
          <cell r="E680">
            <v>1680</v>
          </cell>
        </row>
        <row r="681">
          <cell r="E681">
            <v>1681</v>
          </cell>
          <cell r="F681" t="str">
            <v>Giám đốc, BTCB</v>
          </cell>
        </row>
        <row r="682">
          <cell r="E682">
            <v>1682</v>
          </cell>
          <cell r="F682" t="str">
            <v>Phó Giám đốc, PBTCB</v>
          </cell>
          <cell r="HV682">
            <v>1</v>
          </cell>
        </row>
        <row r="683">
          <cell r="E683">
            <v>1683</v>
          </cell>
          <cell r="HQ683">
            <v>1</v>
          </cell>
        </row>
        <row r="684">
          <cell r="E684">
            <v>1684</v>
          </cell>
          <cell r="HQ684">
            <v>1</v>
          </cell>
        </row>
        <row r="685">
          <cell r="E685">
            <v>1685</v>
          </cell>
        </row>
        <row r="686">
          <cell r="E686">
            <v>1686</v>
          </cell>
        </row>
        <row r="687">
          <cell r="E687">
            <v>1687</v>
          </cell>
          <cell r="F687" t="str">
            <v>TTCĐ</v>
          </cell>
          <cell r="IJ687">
            <v>0</v>
          </cell>
          <cell r="IK687">
            <v>0</v>
          </cell>
          <cell r="IL687">
            <v>0</v>
          </cell>
          <cell r="IM687">
            <v>0</v>
          </cell>
          <cell r="IN687">
            <v>0</v>
          </cell>
          <cell r="IO687">
            <v>0</v>
          </cell>
          <cell r="IP687">
            <v>0</v>
          </cell>
          <cell r="IQ687">
            <v>0</v>
          </cell>
          <cell r="IR687">
            <v>0</v>
          </cell>
          <cell r="IS687">
            <v>0</v>
          </cell>
        </row>
        <row r="688">
          <cell r="E688">
            <v>1688</v>
          </cell>
          <cell r="IJ688">
            <v>0</v>
          </cell>
          <cell r="IK688">
            <v>0</v>
          </cell>
          <cell r="IL688">
            <v>0</v>
          </cell>
          <cell r="IM688">
            <v>0</v>
          </cell>
          <cell r="IN688">
            <v>0</v>
          </cell>
          <cell r="IO688">
            <v>0</v>
          </cell>
          <cell r="IP688">
            <v>0</v>
          </cell>
          <cell r="IQ688">
            <v>0</v>
          </cell>
          <cell r="IR688">
            <v>0</v>
          </cell>
          <cell r="IS688">
            <v>0</v>
          </cell>
        </row>
        <row r="689">
          <cell r="E689">
            <v>1689</v>
          </cell>
          <cell r="F689" t="str">
            <v>BTCĐ</v>
          </cell>
        </row>
        <row r="690">
          <cell r="E690">
            <v>1690</v>
          </cell>
        </row>
        <row r="691">
          <cell r="E691">
            <v>1691</v>
          </cell>
          <cell r="IJ691">
            <v>0</v>
          </cell>
          <cell r="IK691">
            <v>0</v>
          </cell>
          <cell r="IL691">
            <v>0</v>
          </cell>
          <cell r="IM691">
            <v>0</v>
          </cell>
          <cell r="IN691">
            <v>0</v>
          </cell>
          <cell r="IO691">
            <v>0</v>
          </cell>
          <cell r="IP691">
            <v>0</v>
          </cell>
          <cell r="IQ691">
            <v>0</v>
          </cell>
          <cell r="IR691">
            <v>0</v>
          </cell>
          <cell r="IS691">
            <v>0</v>
          </cell>
        </row>
        <row r="692">
          <cell r="E692">
            <v>1692</v>
          </cell>
        </row>
        <row r="693">
          <cell r="E693">
            <v>1693</v>
          </cell>
          <cell r="IJ693">
            <v>0</v>
          </cell>
          <cell r="IK693">
            <v>0</v>
          </cell>
          <cell r="IL693">
            <v>0</v>
          </cell>
          <cell r="IM693">
            <v>0</v>
          </cell>
          <cell r="IN693">
            <v>0</v>
          </cell>
          <cell r="IO693">
            <v>0</v>
          </cell>
          <cell r="IP693">
            <v>0</v>
          </cell>
          <cell r="IQ693">
            <v>0</v>
          </cell>
          <cell r="IR693">
            <v>0</v>
          </cell>
          <cell r="IS693">
            <v>0</v>
          </cell>
        </row>
        <row r="694">
          <cell r="E694">
            <v>1694</v>
          </cell>
          <cell r="IJ694">
            <v>0</v>
          </cell>
          <cell r="IK694">
            <v>0</v>
          </cell>
          <cell r="IL694">
            <v>0</v>
          </cell>
          <cell r="IM694">
            <v>0</v>
          </cell>
          <cell r="IN694">
            <v>0</v>
          </cell>
          <cell r="IO694">
            <v>0</v>
          </cell>
          <cell r="IP694">
            <v>0</v>
          </cell>
          <cell r="IQ694">
            <v>0</v>
          </cell>
          <cell r="IR694">
            <v>0</v>
          </cell>
          <cell r="IS694">
            <v>0</v>
          </cell>
        </row>
        <row r="695">
          <cell r="E695">
            <v>1695</v>
          </cell>
        </row>
        <row r="696">
          <cell r="E696">
            <v>1696</v>
          </cell>
        </row>
        <row r="697">
          <cell r="E697">
            <v>1697</v>
          </cell>
        </row>
        <row r="698">
          <cell r="E698">
            <v>1640</v>
          </cell>
        </row>
        <row r="699">
          <cell r="E699">
            <v>1698</v>
          </cell>
          <cell r="F699" t="str">
            <v>Giám đốc, BTCB</v>
          </cell>
          <cell r="HV699">
            <v>1</v>
          </cell>
        </row>
        <row r="700">
          <cell r="E700">
            <v>1699</v>
          </cell>
          <cell r="F700" t="str">
            <v>Phó Giám đốc</v>
          </cell>
          <cell r="HL700">
            <v>1</v>
          </cell>
        </row>
        <row r="701">
          <cell r="E701">
            <v>1700</v>
          </cell>
          <cell r="F701" t="str">
            <v>Phó Giám đốc</v>
          </cell>
        </row>
        <row r="702">
          <cell r="E702">
            <v>1701</v>
          </cell>
          <cell r="F702" t="str">
            <v>PBTCB</v>
          </cell>
        </row>
        <row r="703">
          <cell r="E703">
            <v>1702</v>
          </cell>
          <cell r="F703" t="str">
            <v>TTCĐ</v>
          </cell>
        </row>
        <row r="704">
          <cell r="E704">
            <v>1704</v>
          </cell>
        </row>
        <row r="705">
          <cell r="E705">
            <v>1705</v>
          </cell>
        </row>
        <row r="706">
          <cell r="E706">
            <v>1766</v>
          </cell>
        </row>
        <row r="707">
          <cell r="E707">
            <v>1706</v>
          </cell>
          <cell r="F707" t="str">
            <v>Giám đốc TTNC&amp;PTKHCN</v>
          </cell>
          <cell r="GE707">
            <v>1</v>
          </cell>
          <cell r="GK707">
            <v>1</v>
          </cell>
        </row>
        <row r="708">
          <cell r="E708">
            <v>1296</v>
          </cell>
          <cell r="F708" t="str">
            <v>Phó Giám đốc</v>
          </cell>
          <cell r="GE708">
            <v>1</v>
          </cell>
        </row>
        <row r="710">
          <cell r="E710">
            <v>1708</v>
          </cell>
        </row>
        <row r="711">
          <cell r="E711">
            <v>1709</v>
          </cell>
        </row>
        <row r="712">
          <cell r="E712">
            <v>1711</v>
          </cell>
        </row>
        <row r="713">
          <cell r="E713">
            <v>1712</v>
          </cell>
          <cell r="IJ713">
            <v>0</v>
          </cell>
          <cell r="IK713">
            <v>0</v>
          </cell>
          <cell r="IL713">
            <v>0</v>
          </cell>
          <cell r="IM713">
            <v>0</v>
          </cell>
          <cell r="IN713">
            <v>0</v>
          </cell>
          <cell r="IO713">
            <v>0</v>
          </cell>
          <cell r="IP713">
            <v>0</v>
          </cell>
          <cell r="IQ713">
            <v>0</v>
          </cell>
          <cell r="IR713">
            <v>0</v>
          </cell>
          <cell r="IS713">
            <v>0</v>
          </cell>
        </row>
        <row r="714">
          <cell r="E714">
            <v>1713</v>
          </cell>
        </row>
        <row r="715">
          <cell r="E715">
            <v>1275</v>
          </cell>
        </row>
        <row r="716">
          <cell r="E716">
            <v>1237</v>
          </cell>
        </row>
        <row r="717">
          <cell r="E717">
            <v>1761</v>
          </cell>
        </row>
        <row r="718">
          <cell r="E718">
            <v>1765</v>
          </cell>
        </row>
        <row r="719">
          <cell r="E719">
            <v>1769</v>
          </cell>
        </row>
        <row r="720">
          <cell r="E720">
            <v>1714</v>
          </cell>
          <cell r="F720" t="str">
            <v>Trưởng ban QL KNTSV, 
BTCB</v>
          </cell>
          <cell r="FA720">
            <v>1</v>
          </cell>
          <cell r="GO720">
            <v>1</v>
          </cell>
          <cell r="IJ720">
            <v>0</v>
          </cell>
          <cell r="IK720">
            <v>0</v>
          </cell>
          <cell r="IL720">
            <v>0</v>
          </cell>
          <cell r="IM720">
            <v>0</v>
          </cell>
          <cell r="IN720">
            <v>1</v>
          </cell>
          <cell r="IO720">
            <v>0</v>
          </cell>
          <cell r="IP720">
            <v>0</v>
          </cell>
          <cell r="IQ720">
            <v>0</v>
          </cell>
          <cell r="IR720">
            <v>0</v>
          </cell>
          <cell r="IS720">
            <v>0</v>
          </cell>
        </row>
        <row r="721">
          <cell r="E721">
            <v>1715</v>
          </cell>
          <cell r="GE721">
            <v>1</v>
          </cell>
        </row>
        <row r="722">
          <cell r="E722">
            <v>1716</v>
          </cell>
          <cell r="F722" t="str">
            <v>TTCĐ</v>
          </cell>
        </row>
        <row r="723">
          <cell r="E723">
            <v>1717</v>
          </cell>
        </row>
        <row r="724">
          <cell r="E724">
            <v>1718</v>
          </cell>
        </row>
        <row r="725">
          <cell r="E725">
            <v>1719</v>
          </cell>
        </row>
        <row r="726">
          <cell r="E726">
            <v>1720</v>
          </cell>
          <cell r="IJ726">
            <v>0</v>
          </cell>
          <cell r="IK726">
            <v>0</v>
          </cell>
          <cell r="IL726">
            <v>0</v>
          </cell>
          <cell r="IM726">
            <v>0</v>
          </cell>
          <cell r="IN726">
            <v>0</v>
          </cell>
          <cell r="IO726">
            <v>0</v>
          </cell>
          <cell r="IP726">
            <v>0</v>
          </cell>
          <cell r="IQ726">
            <v>0</v>
          </cell>
          <cell r="IR726">
            <v>0</v>
          </cell>
          <cell r="IS726">
            <v>0</v>
          </cell>
        </row>
        <row r="727">
          <cell r="E727">
            <v>1721</v>
          </cell>
        </row>
        <row r="728">
          <cell r="E728">
            <v>1722</v>
          </cell>
        </row>
        <row r="729">
          <cell r="E729">
            <v>1723</v>
          </cell>
          <cell r="F729" t="str">
            <v>Trạm trưởng Trạm Y Tế, 
PBTCB</v>
          </cell>
          <cell r="FU729">
            <v>1</v>
          </cell>
          <cell r="IJ729">
            <v>0</v>
          </cell>
          <cell r="IK729">
            <v>0</v>
          </cell>
          <cell r="IL729">
            <v>0</v>
          </cell>
          <cell r="IM729">
            <v>0</v>
          </cell>
          <cell r="IN729">
            <v>0</v>
          </cell>
          <cell r="IO729">
            <v>0</v>
          </cell>
          <cell r="IP729">
            <v>0</v>
          </cell>
          <cell r="IQ729">
            <v>0</v>
          </cell>
          <cell r="IR729">
            <v>0</v>
          </cell>
          <cell r="IS729">
            <v>0</v>
          </cell>
        </row>
        <row r="730">
          <cell r="E730">
            <v>1724</v>
          </cell>
        </row>
        <row r="731">
          <cell r="E731">
            <v>1725</v>
          </cell>
        </row>
        <row r="732">
          <cell r="E732">
            <v>1726</v>
          </cell>
        </row>
        <row r="733">
          <cell r="E733">
            <v>1727</v>
          </cell>
          <cell r="F733" t="str">
            <v>Phó GĐ CSHN, BTCB</v>
          </cell>
        </row>
        <row r="734">
          <cell r="E734">
            <v>1729</v>
          </cell>
          <cell r="F734" t="str">
            <v>Phó trưởng phòng cấu thành</v>
          </cell>
        </row>
        <row r="735">
          <cell r="E735">
            <v>1730</v>
          </cell>
        </row>
        <row r="736">
          <cell r="E736">
            <v>1731</v>
          </cell>
          <cell r="IJ736">
            <v>0</v>
          </cell>
          <cell r="IK736">
            <v>0</v>
          </cell>
          <cell r="IL736">
            <v>0</v>
          </cell>
          <cell r="IM736">
            <v>0</v>
          </cell>
          <cell r="IN736">
            <v>0</v>
          </cell>
          <cell r="IO736">
            <v>0</v>
          </cell>
          <cell r="IP736">
            <v>0</v>
          </cell>
          <cell r="IQ736">
            <v>0</v>
          </cell>
          <cell r="IR736">
            <v>0</v>
          </cell>
          <cell r="IS736">
            <v>0</v>
          </cell>
        </row>
        <row r="737">
          <cell r="E737">
            <v>1732</v>
          </cell>
          <cell r="F737" t="str">
            <v>Trưởng phòng cấu thành
, BTCB</v>
          </cell>
          <cell r="HQ737">
            <v>1</v>
          </cell>
        </row>
        <row r="738">
          <cell r="E738">
            <v>1733</v>
          </cell>
          <cell r="F738" t="str">
            <v>Phó trưởng phòng cấu thành</v>
          </cell>
          <cell r="HQ738">
            <v>1</v>
          </cell>
        </row>
        <row r="739">
          <cell r="E739">
            <v>1734</v>
          </cell>
        </row>
        <row r="740">
          <cell r="E740">
            <v>1735</v>
          </cell>
          <cell r="F740" t="str">
            <v>CUV</v>
          </cell>
        </row>
        <row r="741">
          <cell r="E741">
            <v>1736</v>
          </cell>
          <cell r="IJ741">
            <v>0</v>
          </cell>
          <cell r="IK741">
            <v>0</v>
          </cell>
          <cell r="IL741">
            <v>0</v>
          </cell>
          <cell r="IM741">
            <v>0</v>
          </cell>
          <cell r="IN741">
            <v>0</v>
          </cell>
          <cell r="IO741">
            <v>0</v>
          </cell>
          <cell r="IP741">
            <v>0</v>
          </cell>
          <cell r="IQ741">
            <v>0</v>
          </cell>
          <cell r="IR741">
            <v>0</v>
          </cell>
          <cell r="IS741">
            <v>0</v>
          </cell>
        </row>
        <row r="742">
          <cell r="E742">
            <v>1737</v>
          </cell>
        </row>
        <row r="743">
          <cell r="E743">
            <v>1738</v>
          </cell>
        </row>
        <row r="744">
          <cell r="E744">
            <v>1739</v>
          </cell>
          <cell r="F744" t="str">
            <v>CTCĐ</v>
          </cell>
          <cell r="HQ744">
            <v>1</v>
          </cell>
        </row>
        <row r="745">
          <cell r="E745">
            <v>1740</v>
          </cell>
          <cell r="HQ745">
            <v>1</v>
          </cell>
        </row>
        <row r="746">
          <cell r="E746">
            <v>1742</v>
          </cell>
          <cell r="IJ746">
            <v>0</v>
          </cell>
          <cell r="IK746">
            <v>0</v>
          </cell>
          <cell r="IL746">
            <v>0</v>
          </cell>
          <cell r="IM746">
            <v>0</v>
          </cell>
          <cell r="IN746">
            <v>0</v>
          </cell>
          <cell r="IO746">
            <v>0</v>
          </cell>
          <cell r="IP746">
            <v>0</v>
          </cell>
          <cell r="IQ746">
            <v>0</v>
          </cell>
          <cell r="IR746">
            <v>0</v>
          </cell>
          <cell r="IS746">
            <v>0</v>
          </cell>
        </row>
        <row r="747">
          <cell r="E747">
            <v>1743</v>
          </cell>
        </row>
        <row r="748">
          <cell r="E748">
            <v>1744</v>
          </cell>
        </row>
        <row r="749">
          <cell r="E749">
            <v>1745</v>
          </cell>
        </row>
        <row r="750">
          <cell r="E750">
            <v>1746</v>
          </cell>
        </row>
        <row r="751">
          <cell r="E751">
            <v>1747</v>
          </cell>
        </row>
        <row r="752">
          <cell r="E752">
            <v>1748</v>
          </cell>
          <cell r="F752" t="str">
            <v>PBTCB</v>
          </cell>
        </row>
        <row r="753">
          <cell r="E753">
            <v>1749</v>
          </cell>
          <cell r="IJ753">
            <v>0</v>
          </cell>
          <cell r="IK753">
            <v>0</v>
          </cell>
          <cell r="IL753">
            <v>0</v>
          </cell>
          <cell r="IM753">
            <v>0</v>
          </cell>
          <cell r="IN753">
            <v>0</v>
          </cell>
          <cell r="IO753">
            <v>0</v>
          </cell>
          <cell r="IP753">
            <v>0</v>
          </cell>
          <cell r="IQ753">
            <v>0</v>
          </cell>
          <cell r="IR753">
            <v>0</v>
          </cell>
          <cell r="IS753">
            <v>0</v>
          </cell>
        </row>
        <row r="754">
          <cell r="E754">
            <v>1750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 xếp loại A1"/>
      <sheetName val="DS xếp loại A2"/>
      <sheetName val="DS xếp loại A3"/>
      <sheetName val="DS xếp loại B"/>
      <sheetName val="VC không xếp loại"/>
      <sheetName val="NLĐ đánh giá kpi"/>
    </sheetNames>
    <sheetDataSet>
      <sheetData sheetId="0">
        <row r="8">
          <cell r="E8">
            <v>1008</v>
          </cell>
          <cell r="G8" t="str">
            <v>TS</v>
          </cell>
          <cell r="H8" t="str">
            <v>GVC</v>
          </cell>
          <cell r="I8">
            <v>5</v>
          </cell>
          <cell r="J8" t="str">
            <v>A1</v>
          </cell>
          <cell r="K8" t="str">
            <v>A1</v>
          </cell>
          <cell r="L8">
            <v>1</v>
          </cell>
        </row>
        <row r="9">
          <cell r="E9">
            <v>1009</v>
          </cell>
          <cell r="G9" t="str">
            <v>Ths</v>
          </cell>
          <cell r="H9" t="str">
            <v>GVC</v>
          </cell>
          <cell r="I9">
            <v>5</v>
          </cell>
          <cell r="J9" t="str">
            <v>A1</v>
          </cell>
          <cell r="K9" t="str">
            <v>A1</v>
          </cell>
          <cell r="L9">
            <v>1</v>
          </cell>
        </row>
        <row r="10">
          <cell r="E10">
            <v>1013</v>
          </cell>
          <cell r="G10" t="str">
            <v>TS</v>
          </cell>
          <cell r="H10" t="str">
            <v>GV</v>
          </cell>
          <cell r="I10">
            <v>5</v>
          </cell>
          <cell r="J10" t="str">
            <v>A1</v>
          </cell>
          <cell r="K10" t="str">
            <v>A1</v>
          </cell>
          <cell r="L10">
            <v>1</v>
          </cell>
        </row>
        <row r="11">
          <cell r="E11">
            <v>1018</v>
          </cell>
          <cell r="G11" t="str">
            <v>TS</v>
          </cell>
          <cell r="H11" t="str">
            <v>GV</v>
          </cell>
          <cell r="I11">
            <v>5</v>
          </cell>
          <cell r="J11" t="str">
            <v>A1</v>
          </cell>
          <cell r="K11" t="str">
            <v>A1</v>
          </cell>
          <cell r="L11">
            <v>1</v>
          </cell>
        </row>
        <row r="12">
          <cell r="E12">
            <v>1035</v>
          </cell>
          <cell r="G12" t="str">
            <v>TS</v>
          </cell>
          <cell r="H12" t="str">
            <v>GVC</v>
          </cell>
          <cell r="I12">
            <v>5</v>
          </cell>
          <cell r="J12" t="str">
            <v>A1</v>
          </cell>
          <cell r="K12" t="str">
            <v>A1</v>
          </cell>
          <cell r="L12">
            <v>1</v>
          </cell>
        </row>
        <row r="13">
          <cell r="E13">
            <v>1037</v>
          </cell>
          <cell r="G13" t="str">
            <v>TS</v>
          </cell>
          <cell r="H13" t="str">
            <v>GVC</v>
          </cell>
          <cell r="I13">
            <v>5</v>
          </cell>
          <cell r="J13" t="str">
            <v>A1</v>
          </cell>
          <cell r="K13" t="str">
            <v>A1</v>
          </cell>
          <cell r="L13">
            <v>1</v>
          </cell>
        </row>
        <row r="14">
          <cell r="E14">
            <v>1038</v>
          </cell>
          <cell r="G14" t="str">
            <v>TS</v>
          </cell>
          <cell r="H14" t="str">
            <v>GVC</v>
          </cell>
          <cell r="I14">
            <v>5</v>
          </cell>
          <cell r="J14" t="str">
            <v>A1</v>
          </cell>
          <cell r="K14" t="str">
            <v>A1</v>
          </cell>
          <cell r="L14">
            <v>1</v>
          </cell>
        </row>
        <row r="15">
          <cell r="E15">
            <v>1044</v>
          </cell>
          <cell r="G15" t="str">
            <v>Ths</v>
          </cell>
          <cell r="H15" t="str">
            <v>GV</v>
          </cell>
          <cell r="I15">
            <v>5</v>
          </cell>
          <cell r="J15" t="str">
            <v>A1</v>
          </cell>
          <cell r="K15" t="str">
            <v>A1</v>
          </cell>
          <cell r="L15">
            <v>1</v>
          </cell>
        </row>
        <row r="16">
          <cell r="E16">
            <v>1060</v>
          </cell>
          <cell r="G16" t="str">
            <v>TS</v>
          </cell>
          <cell r="H16" t="str">
            <v>GVC</v>
          </cell>
          <cell r="I16">
            <v>5</v>
          </cell>
          <cell r="J16" t="str">
            <v>A1</v>
          </cell>
          <cell r="K16" t="str">
            <v>A1</v>
          </cell>
          <cell r="L16">
            <v>1</v>
          </cell>
        </row>
        <row r="17">
          <cell r="E17">
            <v>1066</v>
          </cell>
          <cell r="G17" t="str">
            <v>TS</v>
          </cell>
          <cell r="H17" t="str">
            <v>GV</v>
          </cell>
          <cell r="I17">
            <v>5</v>
          </cell>
          <cell r="J17" t="str">
            <v>A1</v>
          </cell>
          <cell r="K17" t="str">
            <v>A1</v>
          </cell>
          <cell r="L17">
            <v>1</v>
          </cell>
        </row>
        <row r="18">
          <cell r="E18">
            <v>1045</v>
          </cell>
          <cell r="F18" t="str">
            <v>PGS</v>
          </cell>
          <cell r="G18" t="str">
            <v>TS</v>
          </cell>
          <cell r="H18" t="str">
            <v>GVCC</v>
          </cell>
          <cell r="I18">
            <v>5</v>
          </cell>
          <cell r="J18" t="str">
            <v>A1</v>
          </cell>
          <cell r="K18" t="str">
            <v>A1</v>
          </cell>
          <cell r="L18">
            <v>1</v>
          </cell>
        </row>
        <row r="19">
          <cell r="E19">
            <v>1054</v>
          </cell>
          <cell r="G19" t="str">
            <v>TS</v>
          </cell>
          <cell r="H19" t="str">
            <v>GVC</v>
          </cell>
          <cell r="I19">
            <v>4.8</v>
          </cell>
          <cell r="J19" t="str">
            <v>A1</v>
          </cell>
          <cell r="K19" t="str">
            <v>A1</v>
          </cell>
          <cell r="L19">
            <v>1</v>
          </cell>
        </row>
        <row r="20">
          <cell r="E20">
            <v>1073</v>
          </cell>
          <cell r="F20" t="str">
            <v>PGS</v>
          </cell>
          <cell r="G20" t="str">
            <v>TS</v>
          </cell>
          <cell r="H20" t="str">
            <v>GVCC</v>
          </cell>
          <cell r="I20">
            <v>5</v>
          </cell>
          <cell r="J20" t="str">
            <v>A1</v>
          </cell>
          <cell r="K20" t="str">
            <v>A1</v>
          </cell>
          <cell r="L20">
            <v>1</v>
          </cell>
        </row>
        <row r="21">
          <cell r="E21">
            <v>1078</v>
          </cell>
          <cell r="G21" t="str">
            <v>TS</v>
          </cell>
          <cell r="H21" t="str">
            <v>GV</v>
          </cell>
          <cell r="I21">
            <v>5</v>
          </cell>
          <cell r="J21" t="str">
            <v>A1</v>
          </cell>
          <cell r="K21" t="str">
            <v>A1</v>
          </cell>
          <cell r="L21">
            <v>1</v>
          </cell>
        </row>
        <row r="22">
          <cell r="E22">
            <v>1083</v>
          </cell>
          <cell r="G22" t="str">
            <v>TS</v>
          </cell>
          <cell r="H22" t="str">
            <v>GVC</v>
          </cell>
          <cell r="I22">
            <v>5</v>
          </cell>
          <cell r="J22" t="str">
            <v>A1</v>
          </cell>
          <cell r="K22" t="str">
            <v>A1</v>
          </cell>
          <cell r="L22">
            <v>1</v>
          </cell>
        </row>
        <row r="23">
          <cell r="E23">
            <v>1089</v>
          </cell>
          <cell r="G23" t="str">
            <v>TS</v>
          </cell>
          <cell r="H23" t="str">
            <v>GV</v>
          </cell>
          <cell r="I23">
            <v>5</v>
          </cell>
          <cell r="J23" t="str">
            <v>A1</v>
          </cell>
          <cell r="K23" t="str">
            <v>A1</v>
          </cell>
          <cell r="L23">
            <v>1</v>
          </cell>
        </row>
        <row r="24">
          <cell r="E24">
            <v>1108</v>
          </cell>
          <cell r="G24" t="str">
            <v>Ths</v>
          </cell>
          <cell r="H24" t="str">
            <v>GV</v>
          </cell>
          <cell r="I24">
            <v>5</v>
          </cell>
          <cell r="J24" t="str">
            <v>A1</v>
          </cell>
          <cell r="K24" t="str">
            <v>A1</v>
          </cell>
          <cell r="L24">
            <v>1</v>
          </cell>
        </row>
        <row r="25">
          <cell r="E25">
            <v>1114</v>
          </cell>
          <cell r="G25" t="str">
            <v>Ths</v>
          </cell>
          <cell r="H25" t="str">
            <v>GVC</v>
          </cell>
          <cell r="I25">
            <v>4.5</v>
          </cell>
          <cell r="J25" t="str">
            <v>A1</v>
          </cell>
          <cell r="K25" t="str">
            <v>A1</v>
          </cell>
          <cell r="L25">
            <v>1</v>
          </cell>
        </row>
        <row r="26">
          <cell r="E26">
            <v>1118</v>
          </cell>
          <cell r="F26" t="str">
            <v>PGS</v>
          </cell>
          <cell r="G26" t="str">
            <v>TS</v>
          </cell>
          <cell r="H26" t="str">
            <v>GVCC</v>
          </cell>
          <cell r="I26">
            <v>5</v>
          </cell>
          <cell r="J26" t="str">
            <v>A1</v>
          </cell>
          <cell r="K26" t="str">
            <v>A1</v>
          </cell>
          <cell r="L26">
            <v>1</v>
          </cell>
        </row>
        <row r="27">
          <cell r="E27">
            <v>1122</v>
          </cell>
          <cell r="F27" t="str">
            <v>PGS</v>
          </cell>
          <cell r="G27" t="str">
            <v>TS</v>
          </cell>
          <cell r="H27" t="str">
            <v>GVCC</v>
          </cell>
          <cell r="I27">
            <v>5</v>
          </cell>
          <cell r="J27" t="str">
            <v>A1</v>
          </cell>
          <cell r="K27" t="str">
            <v>A1</v>
          </cell>
          <cell r="L27">
            <v>1</v>
          </cell>
        </row>
        <row r="28">
          <cell r="E28">
            <v>1123</v>
          </cell>
          <cell r="G28" t="str">
            <v>TS</v>
          </cell>
          <cell r="H28" t="str">
            <v>GVC</v>
          </cell>
          <cell r="I28">
            <v>5</v>
          </cell>
          <cell r="J28" t="str">
            <v>A1</v>
          </cell>
          <cell r="K28" t="str">
            <v>A1</v>
          </cell>
          <cell r="L28">
            <v>1</v>
          </cell>
        </row>
        <row r="29">
          <cell r="E29">
            <v>1135</v>
          </cell>
          <cell r="G29" t="str">
            <v>TS</v>
          </cell>
          <cell r="H29" t="str">
            <v>GVC</v>
          </cell>
          <cell r="I29">
            <v>5</v>
          </cell>
          <cell r="J29" t="str">
            <v>A1</v>
          </cell>
          <cell r="K29" t="str">
            <v>A1</v>
          </cell>
          <cell r="L29">
            <v>1</v>
          </cell>
        </row>
        <row r="30">
          <cell r="E30">
            <v>1138</v>
          </cell>
          <cell r="G30" t="str">
            <v>TS</v>
          </cell>
          <cell r="H30" t="str">
            <v>GVC</v>
          </cell>
          <cell r="I30">
            <v>5</v>
          </cell>
          <cell r="J30" t="str">
            <v>A1</v>
          </cell>
          <cell r="K30" t="str">
            <v>A1</v>
          </cell>
          <cell r="L30">
            <v>1</v>
          </cell>
        </row>
        <row r="31">
          <cell r="E31">
            <v>1141</v>
          </cell>
          <cell r="G31" t="str">
            <v>TS</v>
          </cell>
          <cell r="H31" t="str">
            <v>GVC</v>
          </cell>
          <cell r="I31">
            <v>5</v>
          </cell>
          <cell r="J31" t="str">
            <v>A1</v>
          </cell>
          <cell r="K31" t="str">
            <v>A1</v>
          </cell>
          <cell r="L31">
            <v>1</v>
          </cell>
        </row>
        <row r="32">
          <cell r="E32">
            <v>1144</v>
          </cell>
          <cell r="G32" t="str">
            <v>TS</v>
          </cell>
          <cell r="H32" t="str">
            <v>GVC</v>
          </cell>
          <cell r="I32">
            <v>5</v>
          </cell>
          <cell r="J32" t="str">
            <v>A1</v>
          </cell>
          <cell r="K32" t="str">
            <v>A1</v>
          </cell>
          <cell r="L32">
            <v>1</v>
          </cell>
        </row>
        <row r="33">
          <cell r="E33">
            <v>1153</v>
          </cell>
          <cell r="F33" t="str">
            <v>PGS</v>
          </cell>
          <cell r="G33" t="str">
            <v>TS</v>
          </cell>
          <cell r="H33" t="str">
            <v>GVCC</v>
          </cell>
          <cell r="I33">
            <v>5</v>
          </cell>
          <cell r="J33" t="str">
            <v>A1</v>
          </cell>
          <cell r="K33" t="str">
            <v>A1</v>
          </cell>
          <cell r="L33">
            <v>1</v>
          </cell>
        </row>
        <row r="34">
          <cell r="E34">
            <v>1155</v>
          </cell>
          <cell r="F34" t="str">
            <v>PGS</v>
          </cell>
          <cell r="G34" t="str">
            <v>TS</v>
          </cell>
          <cell r="H34" t="str">
            <v>GVCC</v>
          </cell>
          <cell r="I34">
            <v>5</v>
          </cell>
          <cell r="J34" t="str">
            <v>A1</v>
          </cell>
          <cell r="K34" t="str">
            <v>A1</v>
          </cell>
          <cell r="L34">
            <v>1</v>
          </cell>
        </row>
        <row r="35">
          <cell r="E35">
            <v>1167</v>
          </cell>
          <cell r="G35" t="str">
            <v>TS</v>
          </cell>
          <cell r="H35" t="str">
            <v>GVC</v>
          </cell>
          <cell r="I35">
            <v>4.8600000000000003</v>
          </cell>
          <cell r="J35" t="str">
            <v>A1</v>
          </cell>
          <cell r="K35" t="str">
            <v>A1</v>
          </cell>
          <cell r="L35">
            <v>1</v>
          </cell>
        </row>
        <row r="36">
          <cell r="E36">
            <v>1172</v>
          </cell>
          <cell r="G36" t="str">
            <v>Ths</v>
          </cell>
          <cell r="H36" t="str">
            <v>GVC</v>
          </cell>
          <cell r="I36">
            <v>5</v>
          </cell>
          <cell r="J36" t="str">
            <v>A1</v>
          </cell>
          <cell r="K36" t="str">
            <v>A1</v>
          </cell>
          <cell r="L36">
            <v>1</v>
          </cell>
        </row>
        <row r="37">
          <cell r="E37">
            <v>1179</v>
          </cell>
          <cell r="G37" t="str">
            <v>TS</v>
          </cell>
          <cell r="H37" t="str">
            <v>GVC</v>
          </cell>
          <cell r="I37">
            <v>4.8499999999999996</v>
          </cell>
          <cell r="J37" t="str">
            <v>A1</v>
          </cell>
          <cell r="K37" t="str">
            <v>A1</v>
          </cell>
          <cell r="L37">
            <v>1</v>
          </cell>
        </row>
        <row r="38">
          <cell r="E38">
            <v>1095</v>
          </cell>
          <cell r="G38" t="str">
            <v>TS</v>
          </cell>
          <cell r="H38" t="str">
            <v>GV</v>
          </cell>
          <cell r="I38">
            <v>5</v>
          </cell>
          <cell r="J38" t="str">
            <v>A1</v>
          </cell>
          <cell r="K38" t="str">
            <v>A1</v>
          </cell>
          <cell r="L38">
            <v>1</v>
          </cell>
        </row>
        <row r="39">
          <cell r="E39">
            <v>1439</v>
          </cell>
          <cell r="G39" t="str">
            <v>TS</v>
          </cell>
          <cell r="H39" t="str">
            <v>GVC</v>
          </cell>
          <cell r="I39">
            <v>5</v>
          </cell>
          <cell r="J39" t="str">
            <v>A1</v>
          </cell>
          <cell r="K39" t="str">
            <v>A1</v>
          </cell>
          <cell r="L39">
            <v>1</v>
          </cell>
        </row>
        <row r="40">
          <cell r="E40">
            <v>1440</v>
          </cell>
          <cell r="G40" t="str">
            <v>TS</v>
          </cell>
          <cell r="H40" t="str">
            <v>GVC</v>
          </cell>
          <cell r="I40">
            <v>5</v>
          </cell>
          <cell r="J40" t="str">
            <v>A1</v>
          </cell>
          <cell r="K40" t="str">
            <v>A1</v>
          </cell>
          <cell r="L40">
            <v>1</v>
          </cell>
        </row>
        <row r="41">
          <cell r="E41">
            <v>1447</v>
          </cell>
          <cell r="G41" t="str">
            <v>Ts</v>
          </cell>
          <cell r="H41" t="str">
            <v>GV</v>
          </cell>
          <cell r="I41">
            <v>5</v>
          </cell>
          <cell r="J41" t="str">
            <v>A1</v>
          </cell>
          <cell r="K41" t="str">
            <v>A1</v>
          </cell>
          <cell r="L41">
            <v>1</v>
          </cell>
        </row>
        <row r="42">
          <cell r="E42">
            <v>1202</v>
          </cell>
          <cell r="G42" t="str">
            <v>Ths</v>
          </cell>
          <cell r="H42" t="str">
            <v>CV</v>
          </cell>
          <cell r="I42">
            <v>4.8499999999999996</v>
          </cell>
          <cell r="J42" t="str">
            <v>A1</v>
          </cell>
          <cell r="K42" t="str">
            <v>A1</v>
          </cell>
          <cell r="L42">
            <v>1</v>
          </cell>
        </row>
        <row r="43">
          <cell r="E43">
            <v>1225</v>
          </cell>
          <cell r="G43" t="str">
            <v>TS</v>
          </cell>
          <cell r="H43" t="str">
            <v>GV</v>
          </cell>
          <cell r="I43">
            <v>5</v>
          </cell>
          <cell r="J43" t="str">
            <v>A1</v>
          </cell>
          <cell r="K43" t="str">
            <v>A1</v>
          </cell>
          <cell r="L43">
            <v>1</v>
          </cell>
        </row>
        <row r="44">
          <cell r="E44">
            <v>1196</v>
          </cell>
          <cell r="G44" t="str">
            <v>Ths</v>
          </cell>
          <cell r="H44" t="str">
            <v>GVC</v>
          </cell>
          <cell r="I44">
            <v>5</v>
          </cell>
          <cell r="J44" t="str">
            <v>A1</v>
          </cell>
          <cell r="K44" t="str">
            <v>A1</v>
          </cell>
          <cell r="L44">
            <v>1</v>
          </cell>
        </row>
        <row r="45">
          <cell r="E45">
            <v>1200</v>
          </cell>
          <cell r="G45" t="str">
            <v>Ths</v>
          </cell>
          <cell r="H45" t="str">
            <v>GV</v>
          </cell>
          <cell r="I45">
            <v>5</v>
          </cell>
          <cell r="J45" t="str">
            <v>A1</v>
          </cell>
          <cell r="K45" t="str">
            <v>A1</v>
          </cell>
          <cell r="L45">
            <v>1</v>
          </cell>
        </row>
        <row r="46">
          <cell r="E46">
            <v>1218</v>
          </cell>
          <cell r="G46" t="str">
            <v>Ths</v>
          </cell>
          <cell r="H46" t="str">
            <v>GVC</v>
          </cell>
          <cell r="I46">
            <v>5</v>
          </cell>
          <cell r="J46" t="str">
            <v>A1</v>
          </cell>
          <cell r="K46" t="str">
            <v>A1</v>
          </cell>
          <cell r="L46">
            <v>1</v>
          </cell>
        </row>
        <row r="47">
          <cell r="E47">
            <v>1219</v>
          </cell>
          <cell r="G47" t="str">
            <v>Ths</v>
          </cell>
          <cell r="H47" t="str">
            <v>GVC</v>
          </cell>
          <cell r="I47">
            <v>5</v>
          </cell>
          <cell r="J47" t="str">
            <v>A1</v>
          </cell>
          <cell r="K47" t="str">
            <v>A1</v>
          </cell>
          <cell r="L47">
            <v>1</v>
          </cell>
        </row>
        <row r="48">
          <cell r="E48">
            <v>1222</v>
          </cell>
          <cell r="G48" t="str">
            <v>TS</v>
          </cell>
          <cell r="H48" t="str">
            <v>GV</v>
          </cell>
          <cell r="I48">
            <v>5</v>
          </cell>
          <cell r="J48" t="str">
            <v>A1</v>
          </cell>
          <cell r="K48" t="str">
            <v>A1</v>
          </cell>
          <cell r="L48">
            <v>1</v>
          </cell>
        </row>
        <row r="49">
          <cell r="E49">
            <v>1245</v>
          </cell>
          <cell r="F49" t="str">
            <v>PGS</v>
          </cell>
          <cell r="G49" t="str">
            <v>TS</v>
          </cell>
          <cell r="H49" t="str">
            <v>GVCC</v>
          </cell>
          <cell r="I49" t="str">
            <v>4,93</v>
          </cell>
          <cell r="J49" t="str">
            <v>A1</v>
          </cell>
          <cell r="K49" t="str">
            <v>A1</v>
          </cell>
          <cell r="L49">
            <v>1</v>
          </cell>
        </row>
        <row r="50">
          <cell r="E50">
            <v>1247</v>
          </cell>
          <cell r="G50" t="str">
            <v>TS</v>
          </cell>
          <cell r="H50" t="str">
            <v>GVC</v>
          </cell>
          <cell r="I50" t="str">
            <v>5,0</v>
          </cell>
          <cell r="J50" t="str">
            <v>A1</v>
          </cell>
          <cell r="K50" t="str">
            <v>A1</v>
          </cell>
          <cell r="L50">
            <v>1</v>
          </cell>
        </row>
        <row r="51">
          <cell r="E51">
            <v>1250</v>
          </cell>
          <cell r="G51" t="str">
            <v>TS</v>
          </cell>
          <cell r="H51" t="str">
            <v>GVC</v>
          </cell>
          <cell r="I51" t="str">
            <v>5,0</v>
          </cell>
          <cell r="J51" t="str">
            <v>A1</v>
          </cell>
          <cell r="K51" t="str">
            <v>A1</v>
          </cell>
          <cell r="L51">
            <v>1</v>
          </cell>
        </row>
        <row r="52">
          <cell r="E52">
            <v>1233</v>
          </cell>
          <cell r="G52" t="str">
            <v>TS</v>
          </cell>
          <cell r="H52" t="str">
            <v>GVC</v>
          </cell>
          <cell r="I52" t="str">
            <v>5,0</v>
          </cell>
          <cell r="J52" t="str">
            <v>A1</v>
          </cell>
          <cell r="K52" t="str">
            <v>A1</v>
          </cell>
          <cell r="L52">
            <v>1</v>
          </cell>
        </row>
        <row r="53">
          <cell r="E53">
            <v>1238</v>
          </cell>
          <cell r="G53" t="str">
            <v>TS</v>
          </cell>
          <cell r="H53" t="str">
            <v>GVC</v>
          </cell>
          <cell r="I53" t="str">
            <v>5,0</v>
          </cell>
          <cell r="J53" t="str">
            <v>A1</v>
          </cell>
          <cell r="K53" t="str">
            <v>A1</v>
          </cell>
          <cell r="L53">
            <v>1</v>
          </cell>
        </row>
        <row r="54">
          <cell r="E54">
            <v>1258</v>
          </cell>
          <cell r="G54" t="str">
            <v>TS</v>
          </cell>
          <cell r="H54" t="str">
            <v>GVC</v>
          </cell>
          <cell r="I54" t="str">
            <v>5,0</v>
          </cell>
          <cell r="J54" t="str">
            <v>A1</v>
          </cell>
          <cell r="K54" t="str">
            <v>A1</v>
          </cell>
          <cell r="L54">
            <v>1</v>
          </cell>
        </row>
        <row r="55">
          <cell r="E55">
            <v>1259</v>
          </cell>
          <cell r="G55" t="str">
            <v>TS</v>
          </cell>
          <cell r="H55" t="str">
            <v>GVC</v>
          </cell>
          <cell r="I55" t="str">
            <v>5,0</v>
          </cell>
          <cell r="J55" t="str">
            <v>A1</v>
          </cell>
          <cell r="K55" t="str">
            <v>A1</v>
          </cell>
          <cell r="L55">
            <v>1</v>
          </cell>
        </row>
        <row r="56">
          <cell r="E56">
            <v>1270</v>
          </cell>
          <cell r="F56" t="str">
            <v>PGS</v>
          </cell>
          <cell r="G56" t="str">
            <v>TS</v>
          </cell>
          <cell r="H56" t="str">
            <v>GVCC</v>
          </cell>
          <cell r="I56">
            <v>5</v>
          </cell>
          <cell r="J56" t="str">
            <v>A1</v>
          </cell>
          <cell r="K56" t="str">
            <v>A1</v>
          </cell>
          <cell r="L56">
            <v>1</v>
          </cell>
        </row>
        <row r="57">
          <cell r="E57">
            <v>1272</v>
          </cell>
          <cell r="G57" t="str">
            <v>TS</v>
          </cell>
          <cell r="H57" t="str">
            <v>GVC</v>
          </cell>
          <cell r="I57">
            <v>4.8</v>
          </cell>
          <cell r="J57" t="str">
            <v>A1</v>
          </cell>
          <cell r="K57" t="str">
            <v>A1</v>
          </cell>
          <cell r="L57">
            <v>1</v>
          </cell>
        </row>
        <row r="58">
          <cell r="E58">
            <v>1277</v>
          </cell>
          <cell r="G58" t="str">
            <v>TS</v>
          </cell>
          <cell r="H58" t="str">
            <v>GVC</v>
          </cell>
          <cell r="I58">
            <v>5</v>
          </cell>
          <cell r="J58" t="str">
            <v>A1</v>
          </cell>
          <cell r="K58" t="str">
            <v>A1</v>
          </cell>
          <cell r="L58">
            <v>1</v>
          </cell>
        </row>
        <row r="59">
          <cell r="E59">
            <v>1287</v>
          </cell>
          <cell r="G59" t="str">
            <v>TS</v>
          </cell>
          <cell r="H59" t="str">
            <v>GVC</v>
          </cell>
          <cell r="I59">
            <v>5</v>
          </cell>
          <cell r="J59" t="str">
            <v>A1</v>
          </cell>
          <cell r="K59" t="str">
            <v>A1</v>
          </cell>
          <cell r="L59">
            <v>1</v>
          </cell>
        </row>
        <row r="60">
          <cell r="E60">
            <v>1295</v>
          </cell>
          <cell r="G60" t="str">
            <v>Ths</v>
          </cell>
          <cell r="H60" t="str">
            <v>GVC</v>
          </cell>
          <cell r="I60">
            <v>5</v>
          </cell>
          <cell r="J60" t="str">
            <v>A1</v>
          </cell>
          <cell r="K60" t="str">
            <v>A1</v>
          </cell>
          <cell r="L60">
            <v>1</v>
          </cell>
        </row>
        <row r="61">
          <cell r="E61">
            <v>1302</v>
          </cell>
          <cell r="G61" t="str">
            <v>TS</v>
          </cell>
          <cell r="H61" t="str">
            <v>GVC</v>
          </cell>
          <cell r="I61">
            <v>5</v>
          </cell>
          <cell r="J61" t="str">
            <v>A1</v>
          </cell>
          <cell r="K61" t="str">
            <v>A1</v>
          </cell>
          <cell r="L61">
            <v>1</v>
          </cell>
        </row>
        <row r="62">
          <cell r="E62">
            <v>1308</v>
          </cell>
          <cell r="G62" t="str">
            <v>TS</v>
          </cell>
          <cell r="H62" t="str">
            <v>GVC</v>
          </cell>
          <cell r="I62">
            <v>5</v>
          </cell>
          <cell r="J62" t="str">
            <v>A1</v>
          </cell>
          <cell r="K62" t="str">
            <v>A1</v>
          </cell>
          <cell r="L62">
            <v>1</v>
          </cell>
        </row>
        <row r="63">
          <cell r="E63">
            <v>1314</v>
          </cell>
          <cell r="G63" t="str">
            <v>TS</v>
          </cell>
          <cell r="H63" t="str">
            <v>GV</v>
          </cell>
          <cell r="I63">
            <v>5</v>
          </cell>
          <cell r="J63" t="str">
            <v>A1</v>
          </cell>
          <cell r="K63" t="str">
            <v>A1</v>
          </cell>
          <cell r="L63">
            <v>1</v>
          </cell>
        </row>
        <row r="64">
          <cell r="E64">
            <v>1317</v>
          </cell>
          <cell r="G64" t="str">
            <v>TS</v>
          </cell>
          <cell r="H64" t="str">
            <v>GVC</v>
          </cell>
          <cell r="I64">
            <v>5</v>
          </cell>
          <cell r="J64" t="str">
            <v>A1</v>
          </cell>
          <cell r="K64" t="str">
            <v>A1</v>
          </cell>
          <cell r="L64">
            <v>1</v>
          </cell>
        </row>
        <row r="65">
          <cell r="E65">
            <v>1325</v>
          </cell>
          <cell r="G65" t="str">
            <v>TS</v>
          </cell>
          <cell r="H65" t="str">
            <v>GVC</v>
          </cell>
          <cell r="I65">
            <v>5</v>
          </cell>
          <cell r="J65" t="str">
            <v>A1</v>
          </cell>
          <cell r="K65" t="str">
            <v>A1</v>
          </cell>
          <cell r="L65">
            <v>1</v>
          </cell>
        </row>
        <row r="66">
          <cell r="E66">
            <v>1326</v>
          </cell>
          <cell r="G66" t="str">
            <v>TS</v>
          </cell>
          <cell r="H66" t="str">
            <v>GVC</v>
          </cell>
          <cell r="I66">
            <v>5</v>
          </cell>
          <cell r="J66" t="str">
            <v>A1</v>
          </cell>
          <cell r="K66" t="str">
            <v>A1</v>
          </cell>
          <cell r="L66">
            <v>1</v>
          </cell>
        </row>
        <row r="67">
          <cell r="E67">
            <v>1328</v>
          </cell>
          <cell r="G67" t="str">
            <v>TS</v>
          </cell>
          <cell r="H67" t="str">
            <v>GVC</v>
          </cell>
          <cell r="I67">
            <v>5</v>
          </cell>
          <cell r="J67" t="str">
            <v>A1</v>
          </cell>
          <cell r="K67" t="str">
            <v>A1</v>
          </cell>
          <cell r="L67">
            <v>1</v>
          </cell>
        </row>
        <row r="68">
          <cell r="E68">
            <v>1344</v>
          </cell>
          <cell r="G68" t="str">
            <v>TS</v>
          </cell>
          <cell r="H68" t="str">
            <v>GVC</v>
          </cell>
          <cell r="I68">
            <v>5</v>
          </cell>
          <cell r="J68" t="str">
            <v>A1</v>
          </cell>
          <cell r="K68" t="str">
            <v>A1</v>
          </cell>
          <cell r="L68">
            <v>1</v>
          </cell>
        </row>
        <row r="69">
          <cell r="E69">
            <v>1345</v>
          </cell>
          <cell r="G69" t="str">
            <v>TS</v>
          </cell>
          <cell r="H69" t="str">
            <v>GVC</v>
          </cell>
          <cell r="I69">
            <v>5</v>
          </cell>
          <cell r="J69" t="str">
            <v>A1</v>
          </cell>
          <cell r="K69" t="str">
            <v>A1</v>
          </cell>
          <cell r="L69">
            <v>1</v>
          </cell>
        </row>
        <row r="70">
          <cell r="E70">
            <v>1346</v>
          </cell>
          <cell r="G70" t="str">
            <v>TS</v>
          </cell>
          <cell r="H70" t="str">
            <v>GVC</v>
          </cell>
          <cell r="I70">
            <v>5</v>
          </cell>
          <cell r="J70" t="str">
            <v>A1</v>
          </cell>
          <cell r="K70" t="str">
            <v>A1</v>
          </cell>
          <cell r="L70">
            <v>1</v>
          </cell>
        </row>
        <row r="71">
          <cell r="E71">
            <v>1360</v>
          </cell>
          <cell r="G71" t="str">
            <v>TS</v>
          </cell>
          <cell r="H71" t="str">
            <v>GVC</v>
          </cell>
          <cell r="I71">
            <v>5</v>
          </cell>
          <cell r="J71" t="str">
            <v>A1</v>
          </cell>
          <cell r="K71" t="str">
            <v>A1</v>
          </cell>
          <cell r="L71">
            <v>1</v>
          </cell>
        </row>
        <row r="72">
          <cell r="E72">
            <v>1361</v>
          </cell>
          <cell r="G72" t="str">
            <v>TS</v>
          </cell>
          <cell r="H72" t="str">
            <v>GVC</v>
          </cell>
          <cell r="I72">
            <v>5</v>
          </cell>
          <cell r="J72" t="str">
            <v>A1</v>
          </cell>
          <cell r="K72" t="str">
            <v>A1</v>
          </cell>
          <cell r="L72">
            <v>1</v>
          </cell>
        </row>
        <row r="73">
          <cell r="E73">
            <v>1366</v>
          </cell>
          <cell r="G73" t="str">
            <v>TS</v>
          </cell>
          <cell r="H73" t="str">
            <v>GVC</v>
          </cell>
          <cell r="I73">
            <v>5</v>
          </cell>
          <cell r="J73" t="str">
            <v>A1</v>
          </cell>
          <cell r="K73" t="str">
            <v>A1</v>
          </cell>
          <cell r="L73">
            <v>1</v>
          </cell>
        </row>
        <row r="74">
          <cell r="E74">
            <v>1371</v>
          </cell>
          <cell r="G74" t="str">
            <v>Ths</v>
          </cell>
          <cell r="H74" t="str">
            <v>GV</v>
          </cell>
          <cell r="I74">
            <v>5</v>
          </cell>
          <cell r="J74" t="str">
            <v>A1</v>
          </cell>
          <cell r="K74" t="str">
            <v>A1</v>
          </cell>
          <cell r="L74">
            <v>1</v>
          </cell>
        </row>
        <row r="75">
          <cell r="E75">
            <v>1573</v>
          </cell>
          <cell r="G75" t="str">
            <v>Ths</v>
          </cell>
          <cell r="H75" t="str">
            <v>CVC</v>
          </cell>
          <cell r="I75">
            <v>5</v>
          </cell>
          <cell r="J75" t="str">
            <v>A1</v>
          </cell>
          <cell r="K75" t="str">
            <v>A1</v>
          </cell>
          <cell r="L75">
            <v>1</v>
          </cell>
        </row>
        <row r="76">
          <cell r="E76">
            <v>1387</v>
          </cell>
          <cell r="G76" t="str">
            <v>ThS</v>
          </cell>
          <cell r="H76" t="str">
            <v>CV</v>
          </cell>
          <cell r="I76">
            <v>4.5999999999999996</v>
          </cell>
          <cell r="J76" t="str">
            <v>A1</v>
          </cell>
          <cell r="K76" t="str">
            <v>A1</v>
          </cell>
          <cell r="L76">
            <v>1</v>
          </cell>
        </row>
        <row r="77">
          <cell r="E77">
            <v>1396</v>
          </cell>
          <cell r="G77" t="str">
            <v>Ths</v>
          </cell>
          <cell r="H77" t="str">
            <v>GV</v>
          </cell>
          <cell r="I77">
            <v>5</v>
          </cell>
          <cell r="J77" t="str">
            <v>A1</v>
          </cell>
          <cell r="K77" t="str">
            <v>A1</v>
          </cell>
          <cell r="L77">
            <v>1</v>
          </cell>
        </row>
        <row r="78">
          <cell r="E78">
            <v>1393</v>
          </cell>
          <cell r="G78" t="str">
            <v>Ths</v>
          </cell>
          <cell r="H78" t="str">
            <v>CV</v>
          </cell>
          <cell r="I78">
            <v>5</v>
          </cell>
          <cell r="J78" t="str">
            <v>A1</v>
          </cell>
          <cell r="K78" t="str">
            <v>A1</v>
          </cell>
          <cell r="L78">
            <v>1</v>
          </cell>
        </row>
        <row r="79">
          <cell r="E79">
            <v>1404</v>
          </cell>
          <cell r="G79" t="str">
            <v>Ths</v>
          </cell>
          <cell r="H79" t="str">
            <v>GVC</v>
          </cell>
          <cell r="I79">
            <v>5</v>
          </cell>
          <cell r="J79" t="str">
            <v>A1</v>
          </cell>
          <cell r="K79" t="str">
            <v>A1</v>
          </cell>
          <cell r="L79">
            <v>1</v>
          </cell>
        </row>
        <row r="80">
          <cell r="E80">
            <v>1408</v>
          </cell>
          <cell r="G80" t="str">
            <v>TS</v>
          </cell>
          <cell r="H80" t="str">
            <v>GVC</v>
          </cell>
          <cell r="I80">
            <v>5</v>
          </cell>
          <cell r="J80" t="str">
            <v>A1</v>
          </cell>
          <cell r="K80" t="str">
            <v>A1</v>
          </cell>
          <cell r="L80">
            <v>1</v>
          </cell>
        </row>
        <row r="81">
          <cell r="E81">
            <v>1728</v>
          </cell>
          <cell r="G81" t="str">
            <v>TS</v>
          </cell>
          <cell r="H81" t="str">
            <v>GV</v>
          </cell>
          <cell r="I81">
            <v>5</v>
          </cell>
          <cell r="J81" t="str">
            <v>A1</v>
          </cell>
          <cell r="K81" t="str">
            <v>A1</v>
          </cell>
          <cell r="L81">
            <v>1</v>
          </cell>
        </row>
        <row r="82">
          <cell r="E82">
            <v>1418</v>
          </cell>
          <cell r="G82" t="str">
            <v>Ths</v>
          </cell>
          <cell r="H82" t="str">
            <v>GVC</v>
          </cell>
          <cell r="I82">
            <v>5</v>
          </cell>
          <cell r="J82" t="str">
            <v>A1</v>
          </cell>
          <cell r="K82" t="str">
            <v>A1</v>
          </cell>
          <cell r="L82">
            <v>1</v>
          </cell>
        </row>
        <row r="83">
          <cell r="E83">
            <v>1419</v>
          </cell>
          <cell r="G83" t="str">
            <v>TS</v>
          </cell>
          <cell r="H83" t="str">
            <v>GVC</v>
          </cell>
          <cell r="I83">
            <v>5</v>
          </cell>
          <cell r="J83" t="str">
            <v>A1</v>
          </cell>
          <cell r="K83" t="str">
            <v>A1</v>
          </cell>
          <cell r="L83">
            <v>1</v>
          </cell>
        </row>
        <row r="84">
          <cell r="E84">
            <v>1421</v>
          </cell>
          <cell r="G84" t="str">
            <v>Ths</v>
          </cell>
          <cell r="H84" t="str">
            <v>GVC</v>
          </cell>
          <cell r="I84">
            <v>5</v>
          </cell>
          <cell r="J84" t="str">
            <v>A1</v>
          </cell>
          <cell r="K84" t="str">
            <v>A1</v>
          </cell>
          <cell r="L84">
            <v>1</v>
          </cell>
        </row>
        <row r="85">
          <cell r="E85">
            <v>1491</v>
          </cell>
          <cell r="G85" t="str">
            <v>TS</v>
          </cell>
          <cell r="H85" t="str">
            <v>GVC</v>
          </cell>
          <cell r="I85">
            <v>5</v>
          </cell>
          <cell r="J85" t="str">
            <v>A1</v>
          </cell>
          <cell r="K85" t="str">
            <v>A1</v>
          </cell>
          <cell r="L85">
            <v>1</v>
          </cell>
        </row>
        <row r="86">
          <cell r="E86">
            <v>1460</v>
          </cell>
          <cell r="G86" t="str">
            <v>Ths</v>
          </cell>
          <cell r="H86" t="str">
            <v>GVC</v>
          </cell>
          <cell r="I86">
            <v>5</v>
          </cell>
          <cell r="J86" t="str">
            <v>A1</v>
          </cell>
          <cell r="K86" t="str">
            <v>A1</v>
          </cell>
          <cell r="L86">
            <v>1</v>
          </cell>
        </row>
        <row r="87">
          <cell r="E87">
            <v>1461</v>
          </cell>
          <cell r="G87" t="str">
            <v>TS</v>
          </cell>
          <cell r="H87" t="str">
            <v>GVC</v>
          </cell>
          <cell r="I87">
            <v>5</v>
          </cell>
          <cell r="J87" t="str">
            <v>A1</v>
          </cell>
          <cell r="K87" t="str">
            <v>A1</v>
          </cell>
          <cell r="L87">
            <v>1</v>
          </cell>
        </row>
        <row r="88">
          <cell r="E88">
            <v>1464</v>
          </cell>
          <cell r="G88" t="str">
            <v>TS</v>
          </cell>
          <cell r="H88" t="str">
            <v>GVC</v>
          </cell>
          <cell r="I88" t="str">
            <v>4.92</v>
          </cell>
          <cell r="J88" t="str">
            <v>A1</v>
          </cell>
          <cell r="K88" t="str">
            <v>A1</v>
          </cell>
          <cell r="L88">
            <v>1</v>
          </cell>
        </row>
        <row r="89">
          <cell r="E89">
            <v>1472</v>
          </cell>
          <cell r="F89" t="str">
            <v>PGS</v>
          </cell>
          <cell r="G89" t="str">
            <v>TS</v>
          </cell>
          <cell r="H89" t="str">
            <v>GVCC</v>
          </cell>
          <cell r="I89">
            <v>5</v>
          </cell>
          <cell r="J89" t="str">
            <v>A1</v>
          </cell>
          <cell r="K89" t="str">
            <v>A1</v>
          </cell>
          <cell r="L89">
            <v>1</v>
          </cell>
        </row>
        <row r="90">
          <cell r="E90">
            <v>1479</v>
          </cell>
          <cell r="G90" t="str">
            <v>Ths</v>
          </cell>
          <cell r="H90" t="str">
            <v>GVC</v>
          </cell>
          <cell r="I90">
            <v>5</v>
          </cell>
          <cell r="J90" t="str">
            <v>A1</v>
          </cell>
          <cell r="K90" t="str">
            <v>A1</v>
          </cell>
          <cell r="L90">
            <v>1</v>
          </cell>
        </row>
        <row r="91">
          <cell r="E91">
            <v>1481</v>
          </cell>
          <cell r="G91" t="str">
            <v>Ths</v>
          </cell>
          <cell r="H91" t="str">
            <v>GVC</v>
          </cell>
          <cell r="I91">
            <v>5</v>
          </cell>
          <cell r="J91" t="str">
            <v>A1</v>
          </cell>
          <cell r="K91" t="str">
            <v>A1</v>
          </cell>
          <cell r="L91">
            <v>1</v>
          </cell>
        </row>
        <row r="92">
          <cell r="E92">
            <v>1492</v>
          </cell>
          <cell r="G92" t="str">
            <v>Ths</v>
          </cell>
          <cell r="H92" t="str">
            <v>CV</v>
          </cell>
          <cell r="I92" t="str">
            <v>4,25</v>
          </cell>
          <cell r="J92" t="str">
            <v>A1</v>
          </cell>
          <cell r="K92" t="str">
            <v>A1</v>
          </cell>
          <cell r="L92">
            <v>1</v>
          </cell>
        </row>
        <row r="93">
          <cell r="E93">
            <v>1500</v>
          </cell>
          <cell r="G93" t="str">
            <v>Ths</v>
          </cell>
          <cell r="H93" t="str">
            <v>CV</v>
          </cell>
          <cell r="I93" t="str">
            <v>4,2</v>
          </cell>
          <cell r="J93" t="str">
            <v>A1</v>
          </cell>
          <cell r="K93" t="str">
            <v>A1</v>
          </cell>
          <cell r="L93">
            <v>1</v>
          </cell>
        </row>
        <row r="94">
          <cell r="E94">
            <v>1502</v>
          </cell>
          <cell r="G94" t="str">
            <v>TS</v>
          </cell>
          <cell r="H94" t="str">
            <v>GV</v>
          </cell>
          <cell r="I94" t="str">
            <v>4,5</v>
          </cell>
          <cell r="J94" t="str">
            <v>A1</v>
          </cell>
          <cell r="K94" t="str">
            <v>A1</v>
          </cell>
          <cell r="L94">
            <v>1</v>
          </cell>
        </row>
        <row r="95">
          <cell r="E95">
            <v>1507</v>
          </cell>
          <cell r="G95" t="str">
            <v>Ths</v>
          </cell>
          <cell r="H95" t="str">
            <v>CVC</v>
          </cell>
          <cell r="I95" t="str">
            <v>4,55</v>
          </cell>
          <cell r="J95" t="str">
            <v>A1</v>
          </cell>
          <cell r="K95" t="str">
            <v>A1</v>
          </cell>
          <cell r="L95">
            <v>1</v>
          </cell>
        </row>
        <row r="96">
          <cell r="E96">
            <v>1513</v>
          </cell>
          <cell r="G96" t="str">
            <v>Ths</v>
          </cell>
          <cell r="H96" t="str">
            <v>CVC</v>
          </cell>
          <cell r="I96">
            <v>4.8</v>
          </cell>
          <cell r="J96" t="str">
            <v>A1</v>
          </cell>
          <cell r="K96" t="str">
            <v>A1</v>
          </cell>
          <cell r="L96">
            <v>1</v>
          </cell>
        </row>
        <row r="97">
          <cell r="E97">
            <v>1521</v>
          </cell>
          <cell r="G97" t="str">
            <v>ĐH</v>
          </cell>
          <cell r="H97" t="str">
            <v>Kế toán viên</v>
          </cell>
          <cell r="I97">
            <v>4.5999999999999996</v>
          </cell>
          <cell r="J97" t="str">
            <v>A1</v>
          </cell>
          <cell r="K97" t="str">
            <v>A1</v>
          </cell>
          <cell r="L97">
            <v>1</v>
          </cell>
        </row>
        <row r="98">
          <cell r="E98">
            <v>1525</v>
          </cell>
          <cell r="G98" t="str">
            <v>Ths</v>
          </cell>
          <cell r="H98" t="str">
            <v>CVC</v>
          </cell>
          <cell r="I98">
            <v>4.8</v>
          </cell>
          <cell r="J98" t="str">
            <v>A1</v>
          </cell>
          <cell r="K98" t="str">
            <v>A1</v>
          </cell>
          <cell r="L98">
            <v>1</v>
          </cell>
        </row>
        <row r="99">
          <cell r="E99">
            <v>1527</v>
          </cell>
          <cell r="G99" t="str">
            <v>Ths</v>
          </cell>
          <cell r="H99" t="str">
            <v>CVC</v>
          </cell>
          <cell r="I99">
            <v>4.8</v>
          </cell>
          <cell r="J99" t="str">
            <v>A1</v>
          </cell>
          <cell r="K99" t="str">
            <v>A1</v>
          </cell>
          <cell r="L99">
            <v>1</v>
          </cell>
        </row>
        <row r="100">
          <cell r="E100">
            <v>1534</v>
          </cell>
          <cell r="G100" t="str">
            <v>Ths</v>
          </cell>
          <cell r="H100" t="str">
            <v>CV</v>
          </cell>
          <cell r="I100">
            <v>4.8</v>
          </cell>
          <cell r="J100" t="str">
            <v>A1</v>
          </cell>
          <cell r="K100" t="str">
            <v>A1</v>
          </cell>
          <cell r="L100">
            <v>1</v>
          </cell>
        </row>
        <row r="101">
          <cell r="E101">
            <v>1548</v>
          </cell>
          <cell r="G101" t="str">
            <v>SC</v>
          </cell>
          <cell r="H101" t="str">
            <v>NVLX</v>
          </cell>
          <cell r="I101" t="str">
            <v>4,35</v>
          </cell>
          <cell r="J101" t="str">
            <v>A1</v>
          </cell>
          <cell r="K101" t="str">
            <v>A1</v>
          </cell>
          <cell r="L101">
            <v>1</v>
          </cell>
        </row>
        <row r="102">
          <cell r="E102">
            <v>1551</v>
          </cell>
          <cell r="G102" t="str">
            <v>Ths</v>
          </cell>
          <cell r="H102" t="str">
            <v>CV</v>
          </cell>
          <cell r="I102" t="str">
            <v>4,2</v>
          </cell>
          <cell r="J102" t="str">
            <v>A1</v>
          </cell>
          <cell r="K102" t="str">
            <v>A1</v>
          </cell>
          <cell r="L102">
            <v>1</v>
          </cell>
        </row>
        <row r="103">
          <cell r="E103">
            <v>1588</v>
          </cell>
          <cell r="G103" t="str">
            <v>Ths</v>
          </cell>
          <cell r="H103" t="str">
            <v>CVC</v>
          </cell>
          <cell r="I103" t="str">
            <v>4,35</v>
          </cell>
          <cell r="J103" t="str">
            <v>A1</v>
          </cell>
          <cell r="K103" t="str">
            <v>A1</v>
          </cell>
          <cell r="L103">
            <v>1</v>
          </cell>
        </row>
        <row r="104">
          <cell r="E104">
            <v>1508</v>
          </cell>
          <cell r="G104" t="str">
            <v>Ths</v>
          </cell>
          <cell r="H104" t="str">
            <v>CV</v>
          </cell>
          <cell r="I104">
            <v>4.5999999999999996</v>
          </cell>
          <cell r="J104" t="str">
            <v>A1</v>
          </cell>
          <cell r="K104" t="str">
            <v>A1</v>
          </cell>
          <cell r="L104">
            <v>1</v>
          </cell>
        </row>
        <row r="105">
          <cell r="E105">
            <v>1561</v>
          </cell>
          <cell r="F105" t="str">
            <v>PGS</v>
          </cell>
          <cell r="G105" t="str">
            <v>TS</v>
          </cell>
          <cell r="H105" t="str">
            <v>GVCC</v>
          </cell>
          <cell r="I105">
            <v>5</v>
          </cell>
          <cell r="J105" t="str">
            <v>A1</v>
          </cell>
          <cell r="K105" t="str">
            <v>A1</v>
          </cell>
          <cell r="L105">
            <v>1</v>
          </cell>
        </row>
        <row r="106">
          <cell r="E106">
            <v>1566</v>
          </cell>
          <cell r="G106" t="str">
            <v>Ths</v>
          </cell>
          <cell r="H106" t="str">
            <v>CV</v>
          </cell>
          <cell r="I106">
            <v>5</v>
          </cell>
          <cell r="J106" t="str">
            <v>A1</v>
          </cell>
          <cell r="K106" t="str">
            <v>A1</v>
          </cell>
          <cell r="L106">
            <v>1</v>
          </cell>
        </row>
        <row r="107">
          <cell r="E107">
            <v>1576</v>
          </cell>
          <cell r="G107" t="str">
            <v>Ths</v>
          </cell>
          <cell r="H107" t="str">
            <v>CV</v>
          </cell>
          <cell r="I107">
            <v>5</v>
          </cell>
          <cell r="J107" t="str">
            <v>A1</v>
          </cell>
          <cell r="K107" t="str">
            <v>A1</v>
          </cell>
          <cell r="L107">
            <v>1</v>
          </cell>
        </row>
        <row r="108">
          <cell r="E108">
            <v>1542</v>
          </cell>
          <cell r="G108" t="str">
            <v>Ths</v>
          </cell>
          <cell r="H108" t="str">
            <v>CV</v>
          </cell>
          <cell r="I108">
            <v>5</v>
          </cell>
          <cell r="J108" t="str">
            <v>A1</v>
          </cell>
          <cell r="K108" t="str">
            <v>A1</v>
          </cell>
          <cell r="L108">
            <v>1</v>
          </cell>
        </row>
        <row r="109">
          <cell r="E109">
            <v>1544</v>
          </cell>
          <cell r="G109" t="str">
            <v>TS</v>
          </cell>
          <cell r="H109" t="str">
            <v>GVC</v>
          </cell>
          <cell r="I109">
            <v>4.6500000000000004</v>
          </cell>
          <cell r="J109" t="str">
            <v>A1</v>
          </cell>
          <cell r="K109" t="str">
            <v>A1</v>
          </cell>
          <cell r="L109">
            <v>1</v>
          </cell>
        </row>
        <row r="110">
          <cell r="E110">
            <v>1585</v>
          </cell>
          <cell r="G110" t="str">
            <v>Ths</v>
          </cell>
          <cell r="H110" t="str">
            <v>CVC</v>
          </cell>
          <cell r="I110">
            <v>4.5</v>
          </cell>
          <cell r="J110" t="str">
            <v>A1</v>
          </cell>
          <cell r="K110" t="str">
            <v>A1</v>
          </cell>
          <cell r="L110">
            <v>1</v>
          </cell>
        </row>
        <row r="111">
          <cell r="E111">
            <v>1598</v>
          </cell>
          <cell r="G111" t="str">
            <v>Ths</v>
          </cell>
          <cell r="H111" t="str">
            <v>CVC</v>
          </cell>
          <cell r="I111">
            <v>4.4000000000000004</v>
          </cell>
          <cell r="J111" t="str">
            <v>A1</v>
          </cell>
          <cell r="K111" t="str">
            <v>A1</v>
          </cell>
          <cell r="L111">
            <v>1</v>
          </cell>
        </row>
        <row r="112">
          <cell r="E112">
            <v>1599</v>
          </cell>
          <cell r="G112" t="str">
            <v>Ths</v>
          </cell>
          <cell r="H112" t="str">
            <v>CVC</v>
          </cell>
          <cell r="I112">
            <v>4.4000000000000004</v>
          </cell>
          <cell r="J112" t="str">
            <v>A1</v>
          </cell>
          <cell r="K112" t="str">
            <v>A1</v>
          </cell>
          <cell r="L112">
            <v>1</v>
          </cell>
        </row>
        <row r="113">
          <cell r="E113">
            <v>1607</v>
          </cell>
          <cell r="G113" t="str">
            <v>Ths</v>
          </cell>
          <cell r="H113" t="str">
            <v>CV</v>
          </cell>
          <cell r="I113">
            <v>4.3</v>
          </cell>
          <cell r="J113" t="str">
            <v>A1</v>
          </cell>
          <cell r="K113" t="str">
            <v>A1</v>
          </cell>
          <cell r="L113">
            <v>1</v>
          </cell>
        </row>
        <row r="114">
          <cell r="E114">
            <v>1615</v>
          </cell>
          <cell r="G114" t="str">
            <v>Ths</v>
          </cell>
          <cell r="H114" t="str">
            <v>CV</v>
          </cell>
          <cell r="I114">
            <v>4.5</v>
          </cell>
          <cell r="J114" t="str">
            <v>A1</v>
          </cell>
          <cell r="K114" t="str">
            <v>A1</v>
          </cell>
          <cell r="L114">
            <v>1</v>
          </cell>
        </row>
        <row r="115">
          <cell r="E115">
            <v>1623</v>
          </cell>
          <cell r="G115" t="str">
            <v>Ths</v>
          </cell>
          <cell r="H115" t="str">
            <v>CV</v>
          </cell>
          <cell r="I115">
            <v>4.2</v>
          </cell>
          <cell r="J115" t="str">
            <v>A1</v>
          </cell>
          <cell r="K115" t="str">
            <v>A1</v>
          </cell>
          <cell r="L115">
            <v>1</v>
          </cell>
        </row>
        <row r="116">
          <cell r="E116">
            <v>1635</v>
          </cell>
          <cell r="G116" t="str">
            <v>ThS</v>
          </cell>
          <cell r="H116" t="str">
            <v>CV</v>
          </cell>
          <cell r="I116">
            <v>4.25</v>
          </cell>
          <cell r="J116" t="str">
            <v>A1</v>
          </cell>
          <cell r="K116" t="str">
            <v>A1</v>
          </cell>
          <cell r="L116">
            <v>1</v>
          </cell>
        </row>
        <row r="117">
          <cell r="E117">
            <v>1642</v>
          </cell>
          <cell r="G117" t="str">
            <v>Ths</v>
          </cell>
          <cell r="H117" t="str">
            <v>CV</v>
          </cell>
          <cell r="I117">
            <v>4.3</v>
          </cell>
          <cell r="J117" t="str">
            <v>A1</v>
          </cell>
          <cell r="K117" t="str">
            <v>A1</v>
          </cell>
          <cell r="L117">
            <v>1</v>
          </cell>
        </row>
        <row r="118">
          <cell r="E118">
            <v>1636</v>
          </cell>
          <cell r="G118" t="str">
            <v>Ths</v>
          </cell>
          <cell r="H118" t="str">
            <v>CV</v>
          </cell>
          <cell r="I118">
            <v>4.2</v>
          </cell>
          <cell r="J118" t="str">
            <v>A1</v>
          </cell>
          <cell r="K118" t="str">
            <v>A1</v>
          </cell>
          <cell r="L118">
            <v>1</v>
          </cell>
        </row>
        <row r="119">
          <cell r="E119">
            <v>1650</v>
          </cell>
          <cell r="G119" t="str">
            <v>Ths</v>
          </cell>
          <cell r="H119" t="str">
            <v>CV</v>
          </cell>
          <cell r="I119">
            <v>4.2</v>
          </cell>
          <cell r="J119" t="str">
            <v>A1</v>
          </cell>
          <cell r="K119" t="str">
            <v>A1</v>
          </cell>
          <cell r="L119">
            <v>1</v>
          </cell>
        </row>
        <row r="120">
          <cell r="E120">
            <v>1667</v>
          </cell>
          <cell r="F120" t="str">
            <v>GS</v>
          </cell>
          <cell r="G120" t="str">
            <v>TS</v>
          </cell>
          <cell r="H120" t="str">
            <v>GVCC</v>
          </cell>
          <cell r="I120">
            <v>4.9000000000000004</v>
          </cell>
          <cell r="J120" t="str">
            <v>A1</v>
          </cell>
          <cell r="K120" t="str">
            <v>A1</v>
          </cell>
          <cell r="L120">
            <v>1</v>
          </cell>
        </row>
        <row r="121">
          <cell r="E121">
            <v>1680</v>
          </cell>
          <cell r="G121" t="str">
            <v>Ths</v>
          </cell>
          <cell r="H121" t="str">
            <v>CV</v>
          </cell>
          <cell r="I121">
            <v>4.5</v>
          </cell>
          <cell r="J121" t="str">
            <v>A1</v>
          </cell>
          <cell r="K121" t="str">
            <v>A1</v>
          </cell>
          <cell r="L121">
            <v>1</v>
          </cell>
        </row>
        <row r="122">
          <cell r="E122">
            <v>1681</v>
          </cell>
          <cell r="G122" t="str">
            <v>Ths</v>
          </cell>
          <cell r="H122" t="str">
            <v>TVV</v>
          </cell>
          <cell r="I122">
            <v>4.5999999999999996</v>
          </cell>
          <cell r="J122" t="str">
            <v>A1</v>
          </cell>
          <cell r="K122" t="str">
            <v>A1</v>
          </cell>
          <cell r="L122">
            <v>1</v>
          </cell>
        </row>
        <row r="123">
          <cell r="E123">
            <v>1682</v>
          </cell>
          <cell r="G123" t="str">
            <v>Ths</v>
          </cell>
          <cell r="H123" t="str">
            <v>TVV</v>
          </cell>
          <cell r="I123">
            <v>4.4000000000000004</v>
          </cell>
          <cell r="J123" t="str">
            <v>A1</v>
          </cell>
          <cell r="K123" t="str">
            <v>A1</v>
          </cell>
          <cell r="L123">
            <v>1</v>
          </cell>
        </row>
        <row r="124">
          <cell r="E124">
            <v>1687</v>
          </cell>
          <cell r="G124" t="str">
            <v>ĐH</v>
          </cell>
          <cell r="H124" t="str">
            <v>TVV</v>
          </cell>
          <cell r="I124">
            <v>4.3</v>
          </cell>
          <cell r="J124" t="str">
            <v>A1</v>
          </cell>
          <cell r="K124" t="str">
            <v>A1</v>
          </cell>
          <cell r="L124">
            <v>1</v>
          </cell>
        </row>
        <row r="125">
          <cell r="E125">
            <v>1698</v>
          </cell>
          <cell r="G125" t="str">
            <v>TS</v>
          </cell>
          <cell r="H125" t="str">
            <v>GVC</v>
          </cell>
          <cell r="I125">
            <v>5</v>
          </cell>
          <cell r="J125" t="str">
            <v>A1</v>
          </cell>
          <cell r="K125" t="str">
            <v>A1</v>
          </cell>
          <cell r="L125">
            <v>1</v>
          </cell>
        </row>
        <row r="126">
          <cell r="E126">
            <v>1712</v>
          </cell>
          <cell r="G126" t="str">
            <v>TS</v>
          </cell>
          <cell r="H126" t="str">
            <v>Nghiên cứu viên</v>
          </cell>
          <cell r="I126">
            <v>5</v>
          </cell>
          <cell r="J126" t="str">
            <v>A1</v>
          </cell>
          <cell r="K126" t="str">
            <v>A1</v>
          </cell>
          <cell r="L126">
            <v>1</v>
          </cell>
        </row>
        <row r="127">
          <cell r="E127">
            <v>1714</v>
          </cell>
          <cell r="G127" t="str">
            <v>Ths</v>
          </cell>
          <cell r="H127" t="str">
            <v>CV</v>
          </cell>
          <cell r="I127">
            <v>4.6500000000000004</v>
          </cell>
          <cell r="J127" t="str">
            <v>A1</v>
          </cell>
          <cell r="K127" t="str">
            <v>A1</v>
          </cell>
          <cell r="L127">
            <v>1</v>
          </cell>
        </row>
        <row r="128">
          <cell r="E128">
            <v>1723</v>
          </cell>
          <cell r="G128" t="str">
            <v>Ths</v>
          </cell>
          <cell r="H128" t="str">
            <v>ĐDV</v>
          </cell>
          <cell r="I128">
            <v>4.3499999999999996</v>
          </cell>
          <cell r="J128" t="str">
            <v>A1</v>
          </cell>
          <cell r="K128" t="str">
            <v>A1</v>
          </cell>
          <cell r="L128">
            <v>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VH29"/>
  <sheetViews>
    <sheetView tabSelected="1" workbookViewId="0">
      <selection activeCell="N11" sqref="N11"/>
    </sheetView>
  </sheetViews>
  <sheetFormatPr defaultRowHeight="21.9" customHeight="1" x14ac:dyDescent="0.3"/>
  <cols>
    <col min="1" max="1" width="5" style="12" customWidth="1"/>
    <col min="2" max="2" width="11.44140625" style="13" customWidth="1"/>
    <col min="3" max="3" width="24.33203125" style="13" customWidth="1"/>
    <col min="4" max="4" width="34.33203125" style="12" customWidth="1"/>
    <col min="5" max="5" width="7.33203125" style="12" customWidth="1"/>
    <col min="6" max="6" width="14.33203125" style="12" customWidth="1"/>
    <col min="7" max="10" width="7.33203125" style="12" customWidth="1"/>
    <col min="11" max="12" width="9.109375" style="12" customWidth="1"/>
    <col min="13" max="14" width="9.109375" style="5" customWidth="1"/>
    <col min="15" max="20" width="9.109375" style="12" customWidth="1"/>
    <col min="21" max="21" width="9.109375" style="23" customWidth="1"/>
    <col min="22" max="25" width="9.109375" style="12" customWidth="1"/>
    <col min="26" max="27" width="9.109375" style="23" customWidth="1"/>
    <col min="28" max="30" width="9.109375" style="12" customWidth="1"/>
    <col min="31" max="31" width="26.5546875" style="5" customWidth="1"/>
    <col min="32" max="32" width="7.109375" style="5" customWidth="1"/>
    <col min="33" max="207" width="9.109375" style="5"/>
    <col min="208" max="208" width="4.109375" style="5" customWidth="1"/>
    <col min="209" max="209" width="26.6640625" style="5" customWidth="1"/>
    <col min="210" max="210" width="5.88671875" style="5" customWidth="1"/>
    <col min="211" max="211" width="8" style="5" customWidth="1"/>
    <col min="212" max="212" width="10.88671875" style="5" customWidth="1"/>
    <col min="213" max="213" width="6.5546875" style="5" customWidth="1"/>
    <col min="214" max="214" width="7.33203125" style="5" customWidth="1"/>
    <col min="215" max="215" width="5.88671875" style="5" customWidth="1"/>
    <col min="216" max="218" width="7.109375" style="5" customWidth="1"/>
    <col min="219" max="219" width="7.33203125" style="5" customWidth="1"/>
    <col min="220" max="220" width="7.6640625" style="5" customWidth="1"/>
    <col min="221" max="221" width="8.109375" style="5" customWidth="1"/>
    <col min="222" max="222" width="7.109375" style="5" customWidth="1"/>
    <col min="223" max="223" width="8.33203125" style="5" customWidth="1"/>
    <col min="224" max="224" width="7.6640625" style="5" customWidth="1"/>
    <col min="225" max="225" width="8.33203125" style="5" customWidth="1"/>
    <col min="226" max="226" width="7.33203125" style="5" customWidth="1"/>
    <col min="227" max="227" width="8.44140625" style="5" customWidth="1"/>
    <col min="228" max="228" width="6.88671875" style="5" customWidth="1"/>
    <col min="229" max="229" width="7.88671875" style="5" customWidth="1"/>
    <col min="230" max="230" width="5.44140625" style="5" customWidth="1"/>
    <col min="231" max="231" width="6.44140625" style="5" customWidth="1"/>
    <col min="232" max="232" width="6.109375" style="5" customWidth="1"/>
    <col min="233" max="233" width="8.44140625" style="5" customWidth="1"/>
    <col min="234" max="234" width="7" style="5" customWidth="1"/>
    <col min="235" max="235" width="7.109375" style="5" customWidth="1"/>
    <col min="236" max="236" width="6.33203125" style="5" customWidth="1"/>
    <col min="237" max="237" width="7.6640625" style="5" customWidth="1"/>
    <col min="238" max="238" width="6.33203125" style="5" customWidth="1"/>
    <col min="239" max="239" width="7.6640625" style="5" customWidth="1"/>
    <col min="240" max="240" width="5.6640625" style="5" customWidth="1"/>
    <col min="241" max="241" width="7.109375" style="5" customWidth="1"/>
    <col min="242" max="242" width="6.33203125" style="5" customWidth="1"/>
    <col min="243" max="243" width="7.5546875" style="5" customWidth="1"/>
    <col min="244" max="244" width="6.109375" style="5" customWidth="1"/>
    <col min="245" max="245" width="7.5546875" style="5" customWidth="1"/>
    <col min="246" max="246" width="5.44140625" style="5" customWidth="1"/>
    <col min="247" max="247" width="7" style="5" customWidth="1"/>
    <col min="248" max="248" width="7.6640625" style="5" customWidth="1"/>
    <col min="249" max="249" width="8" style="5" customWidth="1"/>
    <col min="250" max="250" width="7.44140625" style="5" customWidth="1"/>
    <col min="251" max="251" width="12.6640625" style="5" customWidth="1"/>
    <col min="252" max="252" width="7.44140625" style="5" customWidth="1"/>
    <col min="253" max="253" width="12.6640625" style="5" customWidth="1"/>
    <col min="254" max="254" width="11" style="5" customWidth="1"/>
    <col min="255" max="255" width="12.6640625" style="5" customWidth="1"/>
    <col min="256" max="256" width="12.109375" style="5" customWidth="1"/>
    <col min="257" max="463" width="9.109375" style="5"/>
    <col min="464" max="464" width="4.109375" style="5" customWidth="1"/>
    <col min="465" max="465" width="26.6640625" style="5" customWidth="1"/>
    <col min="466" max="466" width="5.88671875" style="5" customWidth="1"/>
    <col min="467" max="467" width="8" style="5" customWidth="1"/>
    <col min="468" max="468" width="10.88671875" style="5" customWidth="1"/>
    <col min="469" max="469" width="6.5546875" style="5" customWidth="1"/>
    <col min="470" max="470" width="7.33203125" style="5" customWidth="1"/>
    <col min="471" max="471" width="5.88671875" style="5" customWidth="1"/>
    <col min="472" max="474" width="7.109375" style="5" customWidth="1"/>
    <col min="475" max="475" width="7.33203125" style="5" customWidth="1"/>
    <col min="476" max="476" width="7.6640625" style="5" customWidth="1"/>
    <col min="477" max="477" width="8.109375" style="5" customWidth="1"/>
    <col min="478" max="478" width="7.109375" style="5" customWidth="1"/>
    <col min="479" max="479" width="8.33203125" style="5" customWidth="1"/>
    <col min="480" max="480" width="7.6640625" style="5" customWidth="1"/>
    <col min="481" max="481" width="8.33203125" style="5" customWidth="1"/>
    <col min="482" max="482" width="7.33203125" style="5" customWidth="1"/>
    <col min="483" max="483" width="8.44140625" style="5" customWidth="1"/>
    <col min="484" max="484" width="6.88671875" style="5" customWidth="1"/>
    <col min="485" max="485" width="7.88671875" style="5" customWidth="1"/>
    <col min="486" max="486" width="5.44140625" style="5" customWidth="1"/>
    <col min="487" max="487" width="6.44140625" style="5" customWidth="1"/>
    <col min="488" max="488" width="6.109375" style="5" customWidth="1"/>
    <col min="489" max="489" width="8.44140625" style="5" customWidth="1"/>
    <col min="490" max="490" width="7" style="5" customWidth="1"/>
    <col min="491" max="491" width="7.109375" style="5" customWidth="1"/>
    <col min="492" max="492" width="6.33203125" style="5" customWidth="1"/>
    <col min="493" max="493" width="7.6640625" style="5" customWidth="1"/>
    <col min="494" max="494" width="6.33203125" style="5" customWidth="1"/>
    <col min="495" max="495" width="7.6640625" style="5" customWidth="1"/>
    <col min="496" max="496" width="5.6640625" style="5" customWidth="1"/>
    <col min="497" max="497" width="7.109375" style="5" customWidth="1"/>
    <col min="498" max="498" width="6.33203125" style="5" customWidth="1"/>
    <col min="499" max="499" width="7.5546875" style="5" customWidth="1"/>
    <col min="500" max="500" width="6.109375" style="5" customWidth="1"/>
    <col min="501" max="501" width="7.5546875" style="5" customWidth="1"/>
    <col min="502" max="502" width="5.44140625" style="5" customWidth="1"/>
    <col min="503" max="503" width="7" style="5" customWidth="1"/>
    <col min="504" max="504" width="7.6640625" style="5" customWidth="1"/>
    <col min="505" max="505" width="8" style="5" customWidth="1"/>
    <col min="506" max="506" width="7.44140625" style="5" customWidth="1"/>
    <col min="507" max="507" width="12.6640625" style="5" customWidth="1"/>
    <col min="508" max="508" width="7.44140625" style="5" customWidth="1"/>
    <col min="509" max="509" width="12.6640625" style="5" customWidth="1"/>
    <col min="510" max="510" width="11" style="5" customWidth="1"/>
    <col min="511" max="511" width="12.6640625" style="5" customWidth="1"/>
    <col min="512" max="512" width="12.109375" style="5" customWidth="1"/>
    <col min="513" max="719" width="9.109375" style="5"/>
    <col min="720" max="720" width="4.109375" style="5" customWidth="1"/>
    <col min="721" max="721" width="26.6640625" style="5" customWidth="1"/>
    <col min="722" max="722" width="5.88671875" style="5" customWidth="1"/>
    <col min="723" max="723" width="8" style="5" customWidth="1"/>
    <col min="724" max="724" width="10.88671875" style="5" customWidth="1"/>
    <col min="725" max="725" width="6.5546875" style="5" customWidth="1"/>
    <col min="726" max="726" width="7.33203125" style="5" customWidth="1"/>
    <col min="727" max="727" width="5.88671875" style="5" customWidth="1"/>
    <col min="728" max="730" width="7.109375" style="5" customWidth="1"/>
    <col min="731" max="731" width="7.33203125" style="5" customWidth="1"/>
    <col min="732" max="732" width="7.6640625" style="5" customWidth="1"/>
    <col min="733" max="733" width="8.109375" style="5" customWidth="1"/>
    <col min="734" max="734" width="7.109375" style="5" customWidth="1"/>
    <col min="735" max="735" width="8.33203125" style="5" customWidth="1"/>
    <col min="736" max="736" width="7.6640625" style="5" customWidth="1"/>
    <col min="737" max="737" width="8.33203125" style="5" customWidth="1"/>
    <col min="738" max="738" width="7.33203125" style="5" customWidth="1"/>
    <col min="739" max="739" width="8.44140625" style="5" customWidth="1"/>
    <col min="740" max="740" width="6.88671875" style="5" customWidth="1"/>
    <col min="741" max="741" width="7.88671875" style="5" customWidth="1"/>
    <col min="742" max="742" width="5.44140625" style="5" customWidth="1"/>
    <col min="743" max="743" width="6.44140625" style="5" customWidth="1"/>
    <col min="744" max="744" width="6.109375" style="5" customWidth="1"/>
    <col min="745" max="745" width="8.44140625" style="5" customWidth="1"/>
    <col min="746" max="746" width="7" style="5" customWidth="1"/>
    <col min="747" max="747" width="7.109375" style="5" customWidth="1"/>
    <col min="748" max="748" width="6.33203125" style="5" customWidth="1"/>
    <col min="749" max="749" width="7.6640625" style="5" customWidth="1"/>
    <col min="750" max="750" width="6.33203125" style="5" customWidth="1"/>
    <col min="751" max="751" width="7.6640625" style="5" customWidth="1"/>
    <col min="752" max="752" width="5.6640625" style="5" customWidth="1"/>
    <col min="753" max="753" width="7.109375" style="5" customWidth="1"/>
    <col min="754" max="754" width="6.33203125" style="5" customWidth="1"/>
    <col min="755" max="755" width="7.5546875" style="5" customWidth="1"/>
    <col min="756" max="756" width="6.109375" style="5" customWidth="1"/>
    <col min="757" max="757" width="7.5546875" style="5" customWidth="1"/>
    <col min="758" max="758" width="5.44140625" style="5" customWidth="1"/>
    <col min="759" max="759" width="7" style="5" customWidth="1"/>
    <col min="760" max="760" width="7.6640625" style="5" customWidth="1"/>
    <col min="761" max="761" width="8" style="5" customWidth="1"/>
    <col min="762" max="762" width="7.44140625" style="5" customWidth="1"/>
    <col min="763" max="763" width="12.6640625" style="5" customWidth="1"/>
    <col min="764" max="764" width="7.44140625" style="5" customWidth="1"/>
    <col min="765" max="765" width="12.6640625" style="5" customWidth="1"/>
    <col min="766" max="766" width="11" style="5" customWidth="1"/>
    <col min="767" max="767" width="12.6640625" style="5" customWidth="1"/>
    <col min="768" max="768" width="12.109375" style="5" customWidth="1"/>
    <col min="769" max="975" width="9.109375" style="5"/>
    <col min="976" max="976" width="4.109375" style="5" customWidth="1"/>
    <col min="977" max="977" width="26.6640625" style="5" customWidth="1"/>
    <col min="978" max="978" width="5.88671875" style="5" customWidth="1"/>
    <col min="979" max="979" width="8" style="5" customWidth="1"/>
    <col min="980" max="980" width="10.88671875" style="5" customWidth="1"/>
    <col min="981" max="981" width="6.5546875" style="5" customWidth="1"/>
    <col min="982" max="982" width="7.33203125" style="5" customWidth="1"/>
    <col min="983" max="983" width="5.88671875" style="5" customWidth="1"/>
    <col min="984" max="986" width="7.109375" style="5" customWidth="1"/>
    <col min="987" max="987" width="7.33203125" style="5" customWidth="1"/>
    <col min="988" max="988" width="7.6640625" style="5" customWidth="1"/>
    <col min="989" max="989" width="8.109375" style="5" customWidth="1"/>
    <col min="990" max="990" width="7.109375" style="5" customWidth="1"/>
    <col min="991" max="991" width="8.33203125" style="5" customWidth="1"/>
    <col min="992" max="992" width="7.6640625" style="5" customWidth="1"/>
    <col min="993" max="993" width="8.33203125" style="5" customWidth="1"/>
    <col min="994" max="994" width="7.33203125" style="5" customWidth="1"/>
    <col min="995" max="995" width="8.44140625" style="5" customWidth="1"/>
    <col min="996" max="996" width="6.88671875" style="5" customWidth="1"/>
    <col min="997" max="997" width="7.88671875" style="5" customWidth="1"/>
    <col min="998" max="998" width="5.44140625" style="5" customWidth="1"/>
    <col min="999" max="999" width="6.44140625" style="5" customWidth="1"/>
    <col min="1000" max="1000" width="6.109375" style="5" customWidth="1"/>
    <col min="1001" max="1001" width="8.44140625" style="5" customWidth="1"/>
    <col min="1002" max="1002" width="7" style="5" customWidth="1"/>
    <col min="1003" max="1003" width="7.109375" style="5" customWidth="1"/>
    <col min="1004" max="1004" width="6.33203125" style="5" customWidth="1"/>
    <col min="1005" max="1005" width="7.6640625" style="5" customWidth="1"/>
    <col min="1006" max="1006" width="6.33203125" style="5" customWidth="1"/>
    <col min="1007" max="1007" width="7.6640625" style="5" customWidth="1"/>
    <col min="1008" max="1008" width="5.6640625" style="5" customWidth="1"/>
    <col min="1009" max="1009" width="7.109375" style="5" customWidth="1"/>
    <col min="1010" max="1010" width="6.33203125" style="5" customWidth="1"/>
    <col min="1011" max="1011" width="7.5546875" style="5" customWidth="1"/>
    <col min="1012" max="1012" width="6.109375" style="5" customWidth="1"/>
    <col min="1013" max="1013" width="7.5546875" style="5" customWidth="1"/>
    <col min="1014" max="1014" width="5.44140625" style="5" customWidth="1"/>
    <col min="1015" max="1015" width="7" style="5" customWidth="1"/>
    <col min="1016" max="1016" width="7.6640625" style="5" customWidth="1"/>
    <col min="1017" max="1017" width="8" style="5" customWidth="1"/>
    <col min="1018" max="1018" width="7.44140625" style="5" customWidth="1"/>
    <col min="1019" max="1019" width="12.6640625" style="5" customWidth="1"/>
    <col min="1020" max="1020" width="7.44140625" style="5" customWidth="1"/>
    <col min="1021" max="1021" width="12.6640625" style="5" customWidth="1"/>
    <col min="1022" max="1022" width="11" style="5" customWidth="1"/>
    <col min="1023" max="1023" width="12.6640625" style="5" customWidth="1"/>
    <col min="1024" max="1024" width="12.109375" style="5" customWidth="1"/>
    <col min="1025" max="1231" width="9.109375" style="5"/>
    <col min="1232" max="1232" width="4.109375" style="5" customWidth="1"/>
    <col min="1233" max="1233" width="26.6640625" style="5" customWidth="1"/>
    <col min="1234" max="1234" width="5.88671875" style="5" customWidth="1"/>
    <col min="1235" max="1235" width="8" style="5" customWidth="1"/>
    <col min="1236" max="1236" width="10.88671875" style="5" customWidth="1"/>
    <col min="1237" max="1237" width="6.5546875" style="5" customWidth="1"/>
    <col min="1238" max="1238" width="7.33203125" style="5" customWidth="1"/>
    <col min="1239" max="1239" width="5.88671875" style="5" customWidth="1"/>
    <col min="1240" max="1242" width="7.109375" style="5" customWidth="1"/>
    <col min="1243" max="1243" width="7.33203125" style="5" customWidth="1"/>
    <col min="1244" max="1244" width="7.6640625" style="5" customWidth="1"/>
    <col min="1245" max="1245" width="8.109375" style="5" customWidth="1"/>
    <col min="1246" max="1246" width="7.109375" style="5" customWidth="1"/>
    <col min="1247" max="1247" width="8.33203125" style="5" customWidth="1"/>
    <col min="1248" max="1248" width="7.6640625" style="5" customWidth="1"/>
    <col min="1249" max="1249" width="8.33203125" style="5" customWidth="1"/>
    <col min="1250" max="1250" width="7.33203125" style="5" customWidth="1"/>
    <col min="1251" max="1251" width="8.44140625" style="5" customWidth="1"/>
    <col min="1252" max="1252" width="6.88671875" style="5" customWidth="1"/>
    <col min="1253" max="1253" width="7.88671875" style="5" customWidth="1"/>
    <col min="1254" max="1254" width="5.44140625" style="5" customWidth="1"/>
    <col min="1255" max="1255" width="6.44140625" style="5" customWidth="1"/>
    <col min="1256" max="1256" width="6.109375" style="5" customWidth="1"/>
    <col min="1257" max="1257" width="8.44140625" style="5" customWidth="1"/>
    <col min="1258" max="1258" width="7" style="5" customWidth="1"/>
    <col min="1259" max="1259" width="7.109375" style="5" customWidth="1"/>
    <col min="1260" max="1260" width="6.33203125" style="5" customWidth="1"/>
    <col min="1261" max="1261" width="7.6640625" style="5" customWidth="1"/>
    <col min="1262" max="1262" width="6.33203125" style="5" customWidth="1"/>
    <col min="1263" max="1263" width="7.6640625" style="5" customWidth="1"/>
    <col min="1264" max="1264" width="5.6640625" style="5" customWidth="1"/>
    <col min="1265" max="1265" width="7.109375" style="5" customWidth="1"/>
    <col min="1266" max="1266" width="6.33203125" style="5" customWidth="1"/>
    <col min="1267" max="1267" width="7.5546875" style="5" customWidth="1"/>
    <col min="1268" max="1268" width="6.109375" style="5" customWidth="1"/>
    <col min="1269" max="1269" width="7.5546875" style="5" customWidth="1"/>
    <col min="1270" max="1270" width="5.44140625" style="5" customWidth="1"/>
    <col min="1271" max="1271" width="7" style="5" customWidth="1"/>
    <col min="1272" max="1272" width="7.6640625" style="5" customWidth="1"/>
    <col min="1273" max="1273" width="8" style="5" customWidth="1"/>
    <col min="1274" max="1274" width="7.44140625" style="5" customWidth="1"/>
    <col min="1275" max="1275" width="12.6640625" style="5" customWidth="1"/>
    <col min="1276" max="1276" width="7.44140625" style="5" customWidth="1"/>
    <col min="1277" max="1277" width="12.6640625" style="5" customWidth="1"/>
    <col min="1278" max="1278" width="11" style="5" customWidth="1"/>
    <col min="1279" max="1279" width="12.6640625" style="5" customWidth="1"/>
    <col min="1280" max="1280" width="12.109375" style="5" customWidth="1"/>
    <col min="1281" max="1487" width="9.109375" style="5"/>
    <col min="1488" max="1488" width="4.109375" style="5" customWidth="1"/>
    <col min="1489" max="1489" width="26.6640625" style="5" customWidth="1"/>
    <col min="1490" max="1490" width="5.88671875" style="5" customWidth="1"/>
    <col min="1491" max="1491" width="8" style="5" customWidth="1"/>
    <col min="1492" max="1492" width="10.88671875" style="5" customWidth="1"/>
    <col min="1493" max="1493" width="6.5546875" style="5" customWidth="1"/>
    <col min="1494" max="1494" width="7.33203125" style="5" customWidth="1"/>
    <col min="1495" max="1495" width="5.88671875" style="5" customWidth="1"/>
    <col min="1496" max="1498" width="7.109375" style="5" customWidth="1"/>
    <col min="1499" max="1499" width="7.33203125" style="5" customWidth="1"/>
    <col min="1500" max="1500" width="7.6640625" style="5" customWidth="1"/>
    <col min="1501" max="1501" width="8.109375" style="5" customWidth="1"/>
    <col min="1502" max="1502" width="7.109375" style="5" customWidth="1"/>
    <col min="1503" max="1503" width="8.33203125" style="5" customWidth="1"/>
    <col min="1504" max="1504" width="7.6640625" style="5" customWidth="1"/>
    <col min="1505" max="1505" width="8.33203125" style="5" customWidth="1"/>
    <col min="1506" max="1506" width="7.33203125" style="5" customWidth="1"/>
    <col min="1507" max="1507" width="8.44140625" style="5" customWidth="1"/>
    <col min="1508" max="1508" width="6.88671875" style="5" customWidth="1"/>
    <col min="1509" max="1509" width="7.88671875" style="5" customWidth="1"/>
    <col min="1510" max="1510" width="5.44140625" style="5" customWidth="1"/>
    <col min="1511" max="1511" width="6.44140625" style="5" customWidth="1"/>
    <col min="1512" max="1512" width="6.109375" style="5" customWidth="1"/>
    <col min="1513" max="1513" width="8.44140625" style="5" customWidth="1"/>
    <col min="1514" max="1514" width="7" style="5" customWidth="1"/>
    <col min="1515" max="1515" width="7.109375" style="5" customWidth="1"/>
    <col min="1516" max="1516" width="6.33203125" style="5" customWidth="1"/>
    <col min="1517" max="1517" width="7.6640625" style="5" customWidth="1"/>
    <col min="1518" max="1518" width="6.33203125" style="5" customWidth="1"/>
    <col min="1519" max="1519" width="7.6640625" style="5" customWidth="1"/>
    <col min="1520" max="1520" width="5.6640625" style="5" customWidth="1"/>
    <col min="1521" max="1521" width="7.109375" style="5" customWidth="1"/>
    <col min="1522" max="1522" width="6.33203125" style="5" customWidth="1"/>
    <col min="1523" max="1523" width="7.5546875" style="5" customWidth="1"/>
    <col min="1524" max="1524" width="6.109375" style="5" customWidth="1"/>
    <col min="1525" max="1525" width="7.5546875" style="5" customWidth="1"/>
    <col min="1526" max="1526" width="5.44140625" style="5" customWidth="1"/>
    <col min="1527" max="1527" width="7" style="5" customWidth="1"/>
    <col min="1528" max="1528" width="7.6640625" style="5" customWidth="1"/>
    <col min="1529" max="1529" width="8" style="5" customWidth="1"/>
    <col min="1530" max="1530" width="7.44140625" style="5" customWidth="1"/>
    <col min="1531" max="1531" width="12.6640625" style="5" customWidth="1"/>
    <col min="1532" max="1532" width="7.44140625" style="5" customWidth="1"/>
    <col min="1533" max="1533" width="12.6640625" style="5" customWidth="1"/>
    <col min="1534" max="1534" width="11" style="5" customWidth="1"/>
    <col min="1535" max="1535" width="12.6640625" style="5" customWidth="1"/>
    <col min="1536" max="1536" width="12.109375" style="5" customWidth="1"/>
    <col min="1537" max="1743" width="9.109375" style="5"/>
    <col min="1744" max="1744" width="4.109375" style="5" customWidth="1"/>
    <col min="1745" max="1745" width="26.6640625" style="5" customWidth="1"/>
    <col min="1746" max="1746" width="5.88671875" style="5" customWidth="1"/>
    <col min="1747" max="1747" width="8" style="5" customWidth="1"/>
    <col min="1748" max="1748" width="10.88671875" style="5" customWidth="1"/>
    <col min="1749" max="1749" width="6.5546875" style="5" customWidth="1"/>
    <col min="1750" max="1750" width="7.33203125" style="5" customWidth="1"/>
    <col min="1751" max="1751" width="5.88671875" style="5" customWidth="1"/>
    <col min="1752" max="1754" width="7.109375" style="5" customWidth="1"/>
    <col min="1755" max="1755" width="7.33203125" style="5" customWidth="1"/>
    <col min="1756" max="1756" width="7.6640625" style="5" customWidth="1"/>
    <col min="1757" max="1757" width="8.109375" style="5" customWidth="1"/>
    <col min="1758" max="1758" width="7.109375" style="5" customWidth="1"/>
    <col min="1759" max="1759" width="8.33203125" style="5" customWidth="1"/>
    <col min="1760" max="1760" width="7.6640625" style="5" customWidth="1"/>
    <col min="1761" max="1761" width="8.33203125" style="5" customWidth="1"/>
    <col min="1762" max="1762" width="7.33203125" style="5" customWidth="1"/>
    <col min="1763" max="1763" width="8.44140625" style="5" customWidth="1"/>
    <col min="1764" max="1764" width="6.88671875" style="5" customWidth="1"/>
    <col min="1765" max="1765" width="7.88671875" style="5" customWidth="1"/>
    <col min="1766" max="1766" width="5.44140625" style="5" customWidth="1"/>
    <col min="1767" max="1767" width="6.44140625" style="5" customWidth="1"/>
    <col min="1768" max="1768" width="6.109375" style="5" customWidth="1"/>
    <col min="1769" max="1769" width="8.44140625" style="5" customWidth="1"/>
    <col min="1770" max="1770" width="7" style="5" customWidth="1"/>
    <col min="1771" max="1771" width="7.109375" style="5" customWidth="1"/>
    <col min="1772" max="1772" width="6.33203125" style="5" customWidth="1"/>
    <col min="1773" max="1773" width="7.6640625" style="5" customWidth="1"/>
    <col min="1774" max="1774" width="6.33203125" style="5" customWidth="1"/>
    <col min="1775" max="1775" width="7.6640625" style="5" customWidth="1"/>
    <col min="1776" max="1776" width="5.6640625" style="5" customWidth="1"/>
    <col min="1777" max="1777" width="7.109375" style="5" customWidth="1"/>
    <col min="1778" max="1778" width="6.33203125" style="5" customWidth="1"/>
    <col min="1779" max="1779" width="7.5546875" style="5" customWidth="1"/>
    <col min="1780" max="1780" width="6.109375" style="5" customWidth="1"/>
    <col min="1781" max="1781" width="7.5546875" style="5" customWidth="1"/>
    <col min="1782" max="1782" width="5.44140625" style="5" customWidth="1"/>
    <col min="1783" max="1783" width="7" style="5" customWidth="1"/>
    <col min="1784" max="1784" width="7.6640625" style="5" customWidth="1"/>
    <col min="1785" max="1785" width="8" style="5" customWidth="1"/>
    <col min="1786" max="1786" width="7.44140625" style="5" customWidth="1"/>
    <col min="1787" max="1787" width="12.6640625" style="5" customWidth="1"/>
    <col min="1788" max="1788" width="7.44140625" style="5" customWidth="1"/>
    <col min="1789" max="1789" width="12.6640625" style="5" customWidth="1"/>
    <col min="1790" max="1790" width="11" style="5" customWidth="1"/>
    <col min="1791" max="1791" width="12.6640625" style="5" customWidth="1"/>
    <col min="1792" max="1792" width="12.109375" style="5" customWidth="1"/>
    <col min="1793" max="1999" width="9.109375" style="5"/>
    <col min="2000" max="2000" width="4.109375" style="5" customWidth="1"/>
    <col min="2001" max="2001" width="26.6640625" style="5" customWidth="1"/>
    <col min="2002" max="2002" width="5.88671875" style="5" customWidth="1"/>
    <col min="2003" max="2003" width="8" style="5" customWidth="1"/>
    <col min="2004" max="2004" width="10.88671875" style="5" customWidth="1"/>
    <col min="2005" max="2005" width="6.5546875" style="5" customWidth="1"/>
    <col min="2006" max="2006" width="7.33203125" style="5" customWidth="1"/>
    <col min="2007" max="2007" width="5.88671875" style="5" customWidth="1"/>
    <col min="2008" max="2010" width="7.109375" style="5" customWidth="1"/>
    <col min="2011" max="2011" width="7.33203125" style="5" customWidth="1"/>
    <col min="2012" max="2012" width="7.6640625" style="5" customWidth="1"/>
    <col min="2013" max="2013" width="8.109375" style="5" customWidth="1"/>
    <col min="2014" max="2014" width="7.109375" style="5" customWidth="1"/>
    <col min="2015" max="2015" width="8.33203125" style="5" customWidth="1"/>
    <col min="2016" max="2016" width="7.6640625" style="5" customWidth="1"/>
    <col min="2017" max="2017" width="8.33203125" style="5" customWidth="1"/>
    <col min="2018" max="2018" width="7.33203125" style="5" customWidth="1"/>
    <col min="2019" max="2019" width="8.44140625" style="5" customWidth="1"/>
    <col min="2020" max="2020" width="6.88671875" style="5" customWidth="1"/>
    <col min="2021" max="2021" width="7.88671875" style="5" customWidth="1"/>
    <col min="2022" max="2022" width="5.44140625" style="5" customWidth="1"/>
    <col min="2023" max="2023" width="6.44140625" style="5" customWidth="1"/>
    <col min="2024" max="2024" width="6.109375" style="5" customWidth="1"/>
    <col min="2025" max="2025" width="8.44140625" style="5" customWidth="1"/>
    <col min="2026" max="2026" width="7" style="5" customWidth="1"/>
    <col min="2027" max="2027" width="7.109375" style="5" customWidth="1"/>
    <col min="2028" max="2028" width="6.33203125" style="5" customWidth="1"/>
    <col min="2029" max="2029" width="7.6640625" style="5" customWidth="1"/>
    <col min="2030" max="2030" width="6.33203125" style="5" customWidth="1"/>
    <col min="2031" max="2031" width="7.6640625" style="5" customWidth="1"/>
    <col min="2032" max="2032" width="5.6640625" style="5" customWidth="1"/>
    <col min="2033" max="2033" width="7.109375" style="5" customWidth="1"/>
    <col min="2034" max="2034" width="6.33203125" style="5" customWidth="1"/>
    <col min="2035" max="2035" width="7.5546875" style="5" customWidth="1"/>
    <col min="2036" max="2036" width="6.109375" style="5" customWidth="1"/>
    <col min="2037" max="2037" width="7.5546875" style="5" customWidth="1"/>
    <col min="2038" max="2038" width="5.44140625" style="5" customWidth="1"/>
    <col min="2039" max="2039" width="7" style="5" customWidth="1"/>
    <col min="2040" max="2040" width="7.6640625" style="5" customWidth="1"/>
    <col min="2041" max="2041" width="8" style="5" customWidth="1"/>
    <col min="2042" max="2042" width="7.44140625" style="5" customWidth="1"/>
    <col min="2043" max="2043" width="12.6640625" style="5" customWidth="1"/>
    <col min="2044" max="2044" width="7.44140625" style="5" customWidth="1"/>
    <col min="2045" max="2045" width="12.6640625" style="5" customWidth="1"/>
    <col min="2046" max="2046" width="11" style="5" customWidth="1"/>
    <col min="2047" max="2047" width="12.6640625" style="5" customWidth="1"/>
    <col min="2048" max="2048" width="12.109375" style="5" customWidth="1"/>
    <col min="2049" max="2255" width="9.109375" style="5"/>
    <col min="2256" max="2256" width="4.109375" style="5" customWidth="1"/>
    <col min="2257" max="2257" width="26.6640625" style="5" customWidth="1"/>
    <col min="2258" max="2258" width="5.88671875" style="5" customWidth="1"/>
    <col min="2259" max="2259" width="8" style="5" customWidth="1"/>
    <col min="2260" max="2260" width="10.88671875" style="5" customWidth="1"/>
    <col min="2261" max="2261" width="6.5546875" style="5" customWidth="1"/>
    <col min="2262" max="2262" width="7.33203125" style="5" customWidth="1"/>
    <col min="2263" max="2263" width="5.88671875" style="5" customWidth="1"/>
    <col min="2264" max="2266" width="7.109375" style="5" customWidth="1"/>
    <col min="2267" max="2267" width="7.33203125" style="5" customWidth="1"/>
    <col min="2268" max="2268" width="7.6640625" style="5" customWidth="1"/>
    <col min="2269" max="2269" width="8.109375" style="5" customWidth="1"/>
    <col min="2270" max="2270" width="7.109375" style="5" customWidth="1"/>
    <col min="2271" max="2271" width="8.33203125" style="5" customWidth="1"/>
    <col min="2272" max="2272" width="7.6640625" style="5" customWidth="1"/>
    <col min="2273" max="2273" width="8.33203125" style="5" customWidth="1"/>
    <col min="2274" max="2274" width="7.33203125" style="5" customWidth="1"/>
    <col min="2275" max="2275" width="8.44140625" style="5" customWidth="1"/>
    <col min="2276" max="2276" width="6.88671875" style="5" customWidth="1"/>
    <col min="2277" max="2277" width="7.88671875" style="5" customWidth="1"/>
    <col min="2278" max="2278" width="5.44140625" style="5" customWidth="1"/>
    <col min="2279" max="2279" width="6.44140625" style="5" customWidth="1"/>
    <col min="2280" max="2280" width="6.109375" style="5" customWidth="1"/>
    <col min="2281" max="2281" width="8.44140625" style="5" customWidth="1"/>
    <col min="2282" max="2282" width="7" style="5" customWidth="1"/>
    <col min="2283" max="2283" width="7.109375" style="5" customWidth="1"/>
    <col min="2284" max="2284" width="6.33203125" style="5" customWidth="1"/>
    <col min="2285" max="2285" width="7.6640625" style="5" customWidth="1"/>
    <col min="2286" max="2286" width="6.33203125" style="5" customWidth="1"/>
    <col min="2287" max="2287" width="7.6640625" style="5" customWidth="1"/>
    <col min="2288" max="2288" width="5.6640625" style="5" customWidth="1"/>
    <col min="2289" max="2289" width="7.109375" style="5" customWidth="1"/>
    <col min="2290" max="2290" width="6.33203125" style="5" customWidth="1"/>
    <col min="2291" max="2291" width="7.5546875" style="5" customWidth="1"/>
    <col min="2292" max="2292" width="6.109375" style="5" customWidth="1"/>
    <col min="2293" max="2293" width="7.5546875" style="5" customWidth="1"/>
    <col min="2294" max="2294" width="5.44140625" style="5" customWidth="1"/>
    <col min="2295" max="2295" width="7" style="5" customWidth="1"/>
    <col min="2296" max="2296" width="7.6640625" style="5" customWidth="1"/>
    <col min="2297" max="2297" width="8" style="5" customWidth="1"/>
    <col min="2298" max="2298" width="7.44140625" style="5" customWidth="1"/>
    <col min="2299" max="2299" width="12.6640625" style="5" customWidth="1"/>
    <col min="2300" max="2300" width="7.44140625" style="5" customWidth="1"/>
    <col min="2301" max="2301" width="12.6640625" style="5" customWidth="1"/>
    <col min="2302" max="2302" width="11" style="5" customWidth="1"/>
    <col min="2303" max="2303" width="12.6640625" style="5" customWidth="1"/>
    <col min="2304" max="2304" width="12.109375" style="5" customWidth="1"/>
    <col min="2305" max="2511" width="9.109375" style="5"/>
    <col min="2512" max="2512" width="4.109375" style="5" customWidth="1"/>
    <col min="2513" max="2513" width="26.6640625" style="5" customWidth="1"/>
    <col min="2514" max="2514" width="5.88671875" style="5" customWidth="1"/>
    <col min="2515" max="2515" width="8" style="5" customWidth="1"/>
    <col min="2516" max="2516" width="10.88671875" style="5" customWidth="1"/>
    <col min="2517" max="2517" width="6.5546875" style="5" customWidth="1"/>
    <col min="2518" max="2518" width="7.33203125" style="5" customWidth="1"/>
    <col min="2519" max="2519" width="5.88671875" style="5" customWidth="1"/>
    <col min="2520" max="2522" width="7.109375" style="5" customWidth="1"/>
    <col min="2523" max="2523" width="7.33203125" style="5" customWidth="1"/>
    <col min="2524" max="2524" width="7.6640625" style="5" customWidth="1"/>
    <col min="2525" max="2525" width="8.109375" style="5" customWidth="1"/>
    <col min="2526" max="2526" width="7.109375" style="5" customWidth="1"/>
    <col min="2527" max="2527" width="8.33203125" style="5" customWidth="1"/>
    <col min="2528" max="2528" width="7.6640625" style="5" customWidth="1"/>
    <col min="2529" max="2529" width="8.33203125" style="5" customWidth="1"/>
    <col min="2530" max="2530" width="7.33203125" style="5" customWidth="1"/>
    <col min="2531" max="2531" width="8.44140625" style="5" customWidth="1"/>
    <col min="2532" max="2532" width="6.88671875" style="5" customWidth="1"/>
    <col min="2533" max="2533" width="7.88671875" style="5" customWidth="1"/>
    <col min="2534" max="2534" width="5.44140625" style="5" customWidth="1"/>
    <col min="2535" max="2535" width="6.44140625" style="5" customWidth="1"/>
    <col min="2536" max="2536" width="6.109375" style="5" customWidth="1"/>
    <col min="2537" max="2537" width="8.44140625" style="5" customWidth="1"/>
    <col min="2538" max="2538" width="7" style="5" customWidth="1"/>
    <col min="2539" max="2539" width="7.109375" style="5" customWidth="1"/>
    <col min="2540" max="2540" width="6.33203125" style="5" customWidth="1"/>
    <col min="2541" max="2541" width="7.6640625" style="5" customWidth="1"/>
    <col min="2542" max="2542" width="6.33203125" style="5" customWidth="1"/>
    <col min="2543" max="2543" width="7.6640625" style="5" customWidth="1"/>
    <col min="2544" max="2544" width="5.6640625" style="5" customWidth="1"/>
    <col min="2545" max="2545" width="7.109375" style="5" customWidth="1"/>
    <col min="2546" max="2546" width="6.33203125" style="5" customWidth="1"/>
    <col min="2547" max="2547" width="7.5546875" style="5" customWidth="1"/>
    <col min="2548" max="2548" width="6.109375" style="5" customWidth="1"/>
    <col min="2549" max="2549" width="7.5546875" style="5" customWidth="1"/>
    <col min="2550" max="2550" width="5.44140625" style="5" customWidth="1"/>
    <col min="2551" max="2551" width="7" style="5" customWidth="1"/>
    <col min="2552" max="2552" width="7.6640625" style="5" customWidth="1"/>
    <col min="2553" max="2553" width="8" style="5" customWidth="1"/>
    <col min="2554" max="2554" width="7.44140625" style="5" customWidth="1"/>
    <col min="2555" max="2555" width="12.6640625" style="5" customWidth="1"/>
    <col min="2556" max="2556" width="7.44140625" style="5" customWidth="1"/>
    <col min="2557" max="2557" width="12.6640625" style="5" customWidth="1"/>
    <col min="2558" max="2558" width="11" style="5" customWidth="1"/>
    <col min="2559" max="2559" width="12.6640625" style="5" customWidth="1"/>
    <col min="2560" max="2560" width="12.109375" style="5" customWidth="1"/>
    <col min="2561" max="2767" width="9.109375" style="5"/>
    <col min="2768" max="2768" width="4.109375" style="5" customWidth="1"/>
    <col min="2769" max="2769" width="26.6640625" style="5" customWidth="1"/>
    <col min="2770" max="2770" width="5.88671875" style="5" customWidth="1"/>
    <col min="2771" max="2771" width="8" style="5" customWidth="1"/>
    <col min="2772" max="2772" width="10.88671875" style="5" customWidth="1"/>
    <col min="2773" max="2773" width="6.5546875" style="5" customWidth="1"/>
    <col min="2774" max="2774" width="7.33203125" style="5" customWidth="1"/>
    <col min="2775" max="2775" width="5.88671875" style="5" customWidth="1"/>
    <col min="2776" max="2778" width="7.109375" style="5" customWidth="1"/>
    <col min="2779" max="2779" width="7.33203125" style="5" customWidth="1"/>
    <col min="2780" max="2780" width="7.6640625" style="5" customWidth="1"/>
    <col min="2781" max="2781" width="8.109375" style="5" customWidth="1"/>
    <col min="2782" max="2782" width="7.109375" style="5" customWidth="1"/>
    <col min="2783" max="2783" width="8.33203125" style="5" customWidth="1"/>
    <col min="2784" max="2784" width="7.6640625" style="5" customWidth="1"/>
    <col min="2785" max="2785" width="8.33203125" style="5" customWidth="1"/>
    <col min="2786" max="2786" width="7.33203125" style="5" customWidth="1"/>
    <col min="2787" max="2787" width="8.44140625" style="5" customWidth="1"/>
    <col min="2788" max="2788" width="6.88671875" style="5" customWidth="1"/>
    <col min="2789" max="2789" width="7.88671875" style="5" customWidth="1"/>
    <col min="2790" max="2790" width="5.44140625" style="5" customWidth="1"/>
    <col min="2791" max="2791" width="6.44140625" style="5" customWidth="1"/>
    <col min="2792" max="2792" width="6.109375" style="5" customWidth="1"/>
    <col min="2793" max="2793" width="8.44140625" style="5" customWidth="1"/>
    <col min="2794" max="2794" width="7" style="5" customWidth="1"/>
    <col min="2795" max="2795" width="7.109375" style="5" customWidth="1"/>
    <col min="2796" max="2796" width="6.33203125" style="5" customWidth="1"/>
    <col min="2797" max="2797" width="7.6640625" style="5" customWidth="1"/>
    <col min="2798" max="2798" width="6.33203125" style="5" customWidth="1"/>
    <col min="2799" max="2799" width="7.6640625" style="5" customWidth="1"/>
    <col min="2800" max="2800" width="5.6640625" style="5" customWidth="1"/>
    <col min="2801" max="2801" width="7.109375" style="5" customWidth="1"/>
    <col min="2802" max="2802" width="6.33203125" style="5" customWidth="1"/>
    <col min="2803" max="2803" width="7.5546875" style="5" customWidth="1"/>
    <col min="2804" max="2804" width="6.109375" style="5" customWidth="1"/>
    <col min="2805" max="2805" width="7.5546875" style="5" customWidth="1"/>
    <col min="2806" max="2806" width="5.44140625" style="5" customWidth="1"/>
    <col min="2807" max="2807" width="7" style="5" customWidth="1"/>
    <col min="2808" max="2808" width="7.6640625" style="5" customWidth="1"/>
    <col min="2809" max="2809" width="8" style="5" customWidth="1"/>
    <col min="2810" max="2810" width="7.44140625" style="5" customWidth="1"/>
    <col min="2811" max="2811" width="12.6640625" style="5" customWidth="1"/>
    <col min="2812" max="2812" width="7.44140625" style="5" customWidth="1"/>
    <col min="2813" max="2813" width="12.6640625" style="5" customWidth="1"/>
    <col min="2814" max="2814" width="11" style="5" customWidth="1"/>
    <col min="2815" max="2815" width="12.6640625" style="5" customWidth="1"/>
    <col min="2816" max="2816" width="12.109375" style="5" customWidth="1"/>
    <col min="2817" max="3023" width="9.109375" style="5"/>
    <col min="3024" max="3024" width="4.109375" style="5" customWidth="1"/>
    <col min="3025" max="3025" width="26.6640625" style="5" customWidth="1"/>
    <col min="3026" max="3026" width="5.88671875" style="5" customWidth="1"/>
    <col min="3027" max="3027" width="8" style="5" customWidth="1"/>
    <col min="3028" max="3028" width="10.88671875" style="5" customWidth="1"/>
    <col min="3029" max="3029" width="6.5546875" style="5" customWidth="1"/>
    <col min="3030" max="3030" width="7.33203125" style="5" customWidth="1"/>
    <col min="3031" max="3031" width="5.88671875" style="5" customWidth="1"/>
    <col min="3032" max="3034" width="7.109375" style="5" customWidth="1"/>
    <col min="3035" max="3035" width="7.33203125" style="5" customWidth="1"/>
    <col min="3036" max="3036" width="7.6640625" style="5" customWidth="1"/>
    <col min="3037" max="3037" width="8.109375" style="5" customWidth="1"/>
    <col min="3038" max="3038" width="7.109375" style="5" customWidth="1"/>
    <col min="3039" max="3039" width="8.33203125" style="5" customWidth="1"/>
    <col min="3040" max="3040" width="7.6640625" style="5" customWidth="1"/>
    <col min="3041" max="3041" width="8.33203125" style="5" customWidth="1"/>
    <col min="3042" max="3042" width="7.33203125" style="5" customWidth="1"/>
    <col min="3043" max="3043" width="8.44140625" style="5" customWidth="1"/>
    <col min="3044" max="3044" width="6.88671875" style="5" customWidth="1"/>
    <col min="3045" max="3045" width="7.88671875" style="5" customWidth="1"/>
    <col min="3046" max="3046" width="5.44140625" style="5" customWidth="1"/>
    <col min="3047" max="3047" width="6.44140625" style="5" customWidth="1"/>
    <col min="3048" max="3048" width="6.109375" style="5" customWidth="1"/>
    <col min="3049" max="3049" width="8.44140625" style="5" customWidth="1"/>
    <col min="3050" max="3050" width="7" style="5" customWidth="1"/>
    <col min="3051" max="3051" width="7.109375" style="5" customWidth="1"/>
    <col min="3052" max="3052" width="6.33203125" style="5" customWidth="1"/>
    <col min="3053" max="3053" width="7.6640625" style="5" customWidth="1"/>
    <col min="3054" max="3054" width="6.33203125" style="5" customWidth="1"/>
    <col min="3055" max="3055" width="7.6640625" style="5" customWidth="1"/>
    <col min="3056" max="3056" width="5.6640625" style="5" customWidth="1"/>
    <col min="3057" max="3057" width="7.109375" style="5" customWidth="1"/>
    <col min="3058" max="3058" width="6.33203125" style="5" customWidth="1"/>
    <col min="3059" max="3059" width="7.5546875" style="5" customWidth="1"/>
    <col min="3060" max="3060" width="6.109375" style="5" customWidth="1"/>
    <col min="3061" max="3061" width="7.5546875" style="5" customWidth="1"/>
    <col min="3062" max="3062" width="5.44140625" style="5" customWidth="1"/>
    <col min="3063" max="3063" width="7" style="5" customWidth="1"/>
    <col min="3064" max="3064" width="7.6640625" style="5" customWidth="1"/>
    <col min="3065" max="3065" width="8" style="5" customWidth="1"/>
    <col min="3066" max="3066" width="7.44140625" style="5" customWidth="1"/>
    <col min="3067" max="3067" width="12.6640625" style="5" customWidth="1"/>
    <col min="3068" max="3068" width="7.44140625" style="5" customWidth="1"/>
    <col min="3069" max="3069" width="12.6640625" style="5" customWidth="1"/>
    <col min="3070" max="3070" width="11" style="5" customWidth="1"/>
    <col min="3071" max="3071" width="12.6640625" style="5" customWidth="1"/>
    <col min="3072" max="3072" width="12.109375" style="5" customWidth="1"/>
    <col min="3073" max="3279" width="9.109375" style="5"/>
    <col min="3280" max="3280" width="4.109375" style="5" customWidth="1"/>
    <col min="3281" max="3281" width="26.6640625" style="5" customWidth="1"/>
    <col min="3282" max="3282" width="5.88671875" style="5" customWidth="1"/>
    <col min="3283" max="3283" width="8" style="5" customWidth="1"/>
    <col min="3284" max="3284" width="10.88671875" style="5" customWidth="1"/>
    <col min="3285" max="3285" width="6.5546875" style="5" customWidth="1"/>
    <col min="3286" max="3286" width="7.33203125" style="5" customWidth="1"/>
    <col min="3287" max="3287" width="5.88671875" style="5" customWidth="1"/>
    <col min="3288" max="3290" width="7.109375" style="5" customWidth="1"/>
    <col min="3291" max="3291" width="7.33203125" style="5" customWidth="1"/>
    <col min="3292" max="3292" width="7.6640625" style="5" customWidth="1"/>
    <col min="3293" max="3293" width="8.109375" style="5" customWidth="1"/>
    <col min="3294" max="3294" width="7.109375" style="5" customWidth="1"/>
    <col min="3295" max="3295" width="8.33203125" style="5" customWidth="1"/>
    <col min="3296" max="3296" width="7.6640625" style="5" customWidth="1"/>
    <col min="3297" max="3297" width="8.33203125" style="5" customWidth="1"/>
    <col min="3298" max="3298" width="7.33203125" style="5" customWidth="1"/>
    <col min="3299" max="3299" width="8.44140625" style="5" customWidth="1"/>
    <col min="3300" max="3300" width="6.88671875" style="5" customWidth="1"/>
    <col min="3301" max="3301" width="7.88671875" style="5" customWidth="1"/>
    <col min="3302" max="3302" width="5.44140625" style="5" customWidth="1"/>
    <col min="3303" max="3303" width="6.44140625" style="5" customWidth="1"/>
    <col min="3304" max="3304" width="6.109375" style="5" customWidth="1"/>
    <col min="3305" max="3305" width="8.44140625" style="5" customWidth="1"/>
    <col min="3306" max="3306" width="7" style="5" customWidth="1"/>
    <col min="3307" max="3307" width="7.109375" style="5" customWidth="1"/>
    <col min="3308" max="3308" width="6.33203125" style="5" customWidth="1"/>
    <col min="3309" max="3309" width="7.6640625" style="5" customWidth="1"/>
    <col min="3310" max="3310" width="6.33203125" style="5" customWidth="1"/>
    <col min="3311" max="3311" width="7.6640625" style="5" customWidth="1"/>
    <col min="3312" max="3312" width="5.6640625" style="5" customWidth="1"/>
    <col min="3313" max="3313" width="7.109375" style="5" customWidth="1"/>
    <col min="3314" max="3314" width="6.33203125" style="5" customWidth="1"/>
    <col min="3315" max="3315" width="7.5546875" style="5" customWidth="1"/>
    <col min="3316" max="3316" width="6.109375" style="5" customWidth="1"/>
    <col min="3317" max="3317" width="7.5546875" style="5" customWidth="1"/>
    <col min="3318" max="3318" width="5.44140625" style="5" customWidth="1"/>
    <col min="3319" max="3319" width="7" style="5" customWidth="1"/>
    <col min="3320" max="3320" width="7.6640625" style="5" customWidth="1"/>
    <col min="3321" max="3321" width="8" style="5" customWidth="1"/>
    <col min="3322" max="3322" width="7.44140625" style="5" customWidth="1"/>
    <col min="3323" max="3323" width="12.6640625" style="5" customWidth="1"/>
    <col min="3324" max="3324" width="7.44140625" style="5" customWidth="1"/>
    <col min="3325" max="3325" width="12.6640625" style="5" customWidth="1"/>
    <col min="3326" max="3326" width="11" style="5" customWidth="1"/>
    <col min="3327" max="3327" width="12.6640625" style="5" customWidth="1"/>
    <col min="3328" max="3328" width="12.109375" style="5" customWidth="1"/>
    <col min="3329" max="3535" width="9.109375" style="5"/>
    <col min="3536" max="3536" width="4.109375" style="5" customWidth="1"/>
    <col min="3537" max="3537" width="26.6640625" style="5" customWidth="1"/>
    <col min="3538" max="3538" width="5.88671875" style="5" customWidth="1"/>
    <col min="3539" max="3539" width="8" style="5" customWidth="1"/>
    <col min="3540" max="3540" width="10.88671875" style="5" customWidth="1"/>
    <col min="3541" max="3541" width="6.5546875" style="5" customWidth="1"/>
    <col min="3542" max="3542" width="7.33203125" style="5" customWidth="1"/>
    <col min="3543" max="3543" width="5.88671875" style="5" customWidth="1"/>
    <col min="3544" max="3546" width="7.109375" style="5" customWidth="1"/>
    <col min="3547" max="3547" width="7.33203125" style="5" customWidth="1"/>
    <col min="3548" max="3548" width="7.6640625" style="5" customWidth="1"/>
    <col min="3549" max="3549" width="8.109375" style="5" customWidth="1"/>
    <col min="3550" max="3550" width="7.109375" style="5" customWidth="1"/>
    <col min="3551" max="3551" width="8.33203125" style="5" customWidth="1"/>
    <col min="3552" max="3552" width="7.6640625" style="5" customWidth="1"/>
    <col min="3553" max="3553" width="8.33203125" style="5" customWidth="1"/>
    <col min="3554" max="3554" width="7.33203125" style="5" customWidth="1"/>
    <col min="3555" max="3555" width="8.44140625" style="5" customWidth="1"/>
    <col min="3556" max="3556" width="6.88671875" style="5" customWidth="1"/>
    <col min="3557" max="3557" width="7.88671875" style="5" customWidth="1"/>
    <col min="3558" max="3558" width="5.44140625" style="5" customWidth="1"/>
    <col min="3559" max="3559" width="6.44140625" style="5" customWidth="1"/>
    <col min="3560" max="3560" width="6.109375" style="5" customWidth="1"/>
    <col min="3561" max="3561" width="8.44140625" style="5" customWidth="1"/>
    <col min="3562" max="3562" width="7" style="5" customWidth="1"/>
    <col min="3563" max="3563" width="7.109375" style="5" customWidth="1"/>
    <col min="3564" max="3564" width="6.33203125" style="5" customWidth="1"/>
    <col min="3565" max="3565" width="7.6640625" style="5" customWidth="1"/>
    <col min="3566" max="3566" width="6.33203125" style="5" customWidth="1"/>
    <col min="3567" max="3567" width="7.6640625" style="5" customWidth="1"/>
    <col min="3568" max="3568" width="5.6640625" style="5" customWidth="1"/>
    <col min="3569" max="3569" width="7.109375" style="5" customWidth="1"/>
    <col min="3570" max="3570" width="6.33203125" style="5" customWidth="1"/>
    <col min="3571" max="3571" width="7.5546875" style="5" customWidth="1"/>
    <col min="3572" max="3572" width="6.109375" style="5" customWidth="1"/>
    <col min="3573" max="3573" width="7.5546875" style="5" customWidth="1"/>
    <col min="3574" max="3574" width="5.44140625" style="5" customWidth="1"/>
    <col min="3575" max="3575" width="7" style="5" customWidth="1"/>
    <col min="3576" max="3576" width="7.6640625" style="5" customWidth="1"/>
    <col min="3577" max="3577" width="8" style="5" customWidth="1"/>
    <col min="3578" max="3578" width="7.44140625" style="5" customWidth="1"/>
    <col min="3579" max="3579" width="12.6640625" style="5" customWidth="1"/>
    <col min="3580" max="3580" width="7.44140625" style="5" customWidth="1"/>
    <col min="3581" max="3581" width="12.6640625" style="5" customWidth="1"/>
    <col min="3582" max="3582" width="11" style="5" customWidth="1"/>
    <col min="3583" max="3583" width="12.6640625" style="5" customWidth="1"/>
    <col min="3584" max="3584" width="12.109375" style="5" customWidth="1"/>
    <col min="3585" max="3791" width="9.109375" style="5"/>
    <col min="3792" max="3792" width="4.109375" style="5" customWidth="1"/>
    <col min="3793" max="3793" width="26.6640625" style="5" customWidth="1"/>
    <col min="3794" max="3794" width="5.88671875" style="5" customWidth="1"/>
    <col min="3795" max="3795" width="8" style="5" customWidth="1"/>
    <col min="3796" max="3796" width="10.88671875" style="5" customWidth="1"/>
    <col min="3797" max="3797" width="6.5546875" style="5" customWidth="1"/>
    <col min="3798" max="3798" width="7.33203125" style="5" customWidth="1"/>
    <col min="3799" max="3799" width="5.88671875" style="5" customWidth="1"/>
    <col min="3800" max="3802" width="7.109375" style="5" customWidth="1"/>
    <col min="3803" max="3803" width="7.33203125" style="5" customWidth="1"/>
    <col min="3804" max="3804" width="7.6640625" style="5" customWidth="1"/>
    <col min="3805" max="3805" width="8.109375" style="5" customWidth="1"/>
    <col min="3806" max="3806" width="7.109375" style="5" customWidth="1"/>
    <col min="3807" max="3807" width="8.33203125" style="5" customWidth="1"/>
    <col min="3808" max="3808" width="7.6640625" style="5" customWidth="1"/>
    <col min="3809" max="3809" width="8.33203125" style="5" customWidth="1"/>
    <col min="3810" max="3810" width="7.33203125" style="5" customWidth="1"/>
    <col min="3811" max="3811" width="8.44140625" style="5" customWidth="1"/>
    <col min="3812" max="3812" width="6.88671875" style="5" customWidth="1"/>
    <col min="3813" max="3813" width="7.88671875" style="5" customWidth="1"/>
    <col min="3814" max="3814" width="5.44140625" style="5" customWidth="1"/>
    <col min="3815" max="3815" width="6.44140625" style="5" customWidth="1"/>
    <col min="3816" max="3816" width="6.109375" style="5" customWidth="1"/>
    <col min="3817" max="3817" width="8.44140625" style="5" customWidth="1"/>
    <col min="3818" max="3818" width="7" style="5" customWidth="1"/>
    <col min="3819" max="3819" width="7.109375" style="5" customWidth="1"/>
    <col min="3820" max="3820" width="6.33203125" style="5" customWidth="1"/>
    <col min="3821" max="3821" width="7.6640625" style="5" customWidth="1"/>
    <col min="3822" max="3822" width="6.33203125" style="5" customWidth="1"/>
    <col min="3823" max="3823" width="7.6640625" style="5" customWidth="1"/>
    <col min="3824" max="3824" width="5.6640625" style="5" customWidth="1"/>
    <col min="3825" max="3825" width="7.109375" style="5" customWidth="1"/>
    <col min="3826" max="3826" width="6.33203125" style="5" customWidth="1"/>
    <col min="3827" max="3827" width="7.5546875" style="5" customWidth="1"/>
    <col min="3828" max="3828" width="6.109375" style="5" customWidth="1"/>
    <col min="3829" max="3829" width="7.5546875" style="5" customWidth="1"/>
    <col min="3830" max="3830" width="5.44140625" style="5" customWidth="1"/>
    <col min="3831" max="3831" width="7" style="5" customWidth="1"/>
    <col min="3832" max="3832" width="7.6640625" style="5" customWidth="1"/>
    <col min="3833" max="3833" width="8" style="5" customWidth="1"/>
    <col min="3834" max="3834" width="7.44140625" style="5" customWidth="1"/>
    <col min="3835" max="3835" width="12.6640625" style="5" customWidth="1"/>
    <col min="3836" max="3836" width="7.44140625" style="5" customWidth="1"/>
    <col min="3837" max="3837" width="12.6640625" style="5" customWidth="1"/>
    <col min="3838" max="3838" width="11" style="5" customWidth="1"/>
    <col min="3839" max="3839" width="12.6640625" style="5" customWidth="1"/>
    <col min="3840" max="3840" width="12.109375" style="5" customWidth="1"/>
    <col min="3841" max="4047" width="9.109375" style="5"/>
    <col min="4048" max="4048" width="4.109375" style="5" customWidth="1"/>
    <col min="4049" max="4049" width="26.6640625" style="5" customWidth="1"/>
    <col min="4050" max="4050" width="5.88671875" style="5" customWidth="1"/>
    <col min="4051" max="4051" width="8" style="5" customWidth="1"/>
    <col min="4052" max="4052" width="10.88671875" style="5" customWidth="1"/>
    <col min="4053" max="4053" width="6.5546875" style="5" customWidth="1"/>
    <col min="4054" max="4054" width="7.33203125" style="5" customWidth="1"/>
    <col min="4055" max="4055" width="5.88671875" style="5" customWidth="1"/>
    <col min="4056" max="4058" width="7.109375" style="5" customWidth="1"/>
    <col min="4059" max="4059" width="7.33203125" style="5" customWidth="1"/>
    <col min="4060" max="4060" width="7.6640625" style="5" customWidth="1"/>
    <col min="4061" max="4061" width="8.109375" style="5" customWidth="1"/>
    <col min="4062" max="4062" width="7.109375" style="5" customWidth="1"/>
    <col min="4063" max="4063" width="8.33203125" style="5" customWidth="1"/>
    <col min="4064" max="4064" width="7.6640625" style="5" customWidth="1"/>
    <col min="4065" max="4065" width="8.33203125" style="5" customWidth="1"/>
    <col min="4066" max="4066" width="7.33203125" style="5" customWidth="1"/>
    <col min="4067" max="4067" width="8.44140625" style="5" customWidth="1"/>
    <col min="4068" max="4068" width="6.88671875" style="5" customWidth="1"/>
    <col min="4069" max="4069" width="7.88671875" style="5" customWidth="1"/>
    <col min="4070" max="4070" width="5.44140625" style="5" customWidth="1"/>
    <col min="4071" max="4071" width="6.44140625" style="5" customWidth="1"/>
    <col min="4072" max="4072" width="6.109375" style="5" customWidth="1"/>
    <col min="4073" max="4073" width="8.44140625" style="5" customWidth="1"/>
    <col min="4074" max="4074" width="7" style="5" customWidth="1"/>
    <col min="4075" max="4075" width="7.109375" style="5" customWidth="1"/>
    <col min="4076" max="4076" width="6.33203125" style="5" customWidth="1"/>
    <col min="4077" max="4077" width="7.6640625" style="5" customWidth="1"/>
    <col min="4078" max="4078" width="6.33203125" style="5" customWidth="1"/>
    <col min="4079" max="4079" width="7.6640625" style="5" customWidth="1"/>
    <col min="4080" max="4080" width="5.6640625" style="5" customWidth="1"/>
    <col min="4081" max="4081" width="7.109375" style="5" customWidth="1"/>
    <col min="4082" max="4082" width="6.33203125" style="5" customWidth="1"/>
    <col min="4083" max="4083" width="7.5546875" style="5" customWidth="1"/>
    <col min="4084" max="4084" width="6.109375" style="5" customWidth="1"/>
    <col min="4085" max="4085" width="7.5546875" style="5" customWidth="1"/>
    <col min="4086" max="4086" width="5.44140625" style="5" customWidth="1"/>
    <col min="4087" max="4087" width="7" style="5" customWidth="1"/>
    <col min="4088" max="4088" width="7.6640625" style="5" customWidth="1"/>
    <col min="4089" max="4089" width="8" style="5" customWidth="1"/>
    <col min="4090" max="4090" width="7.44140625" style="5" customWidth="1"/>
    <col min="4091" max="4091" width="12.6640625" style="5" customWidth="1"/>
    <col min="4092" max="4092" width="7.44140625" style="5" customWidth="1"/>
    <col min="4093" max="4093" width="12.6640625" style="5" customWidth="1"/>
    <col min="4094" max="4094" width="11" style="5" customWidth="1"/>
    <col min="4095" max="4095" width="12.6640625" style="5" customWidth="1"/>
    <col min="4096" max="4096" width="12.109375" style="5" customWidth="1"/>
    <col min="4097" max="4303" width="9.109375" style="5"/>
    <col min="4304" max="4304" width="4.109375" style="5" customWidth="1"/>
    <col min="4305" max="4305" width="26.6640625" style="5" customWidth="1"/>
    <col min="4306" max="4306" width="5.88671875" style="5" customWidth="1"/>
    <col min="4307" max="4307" width="8" style="5" customWidth="1"/>
    <col min="4308" max="4308" width="10.88671875" style="5" customWidth="1"/>
    <col min="4309" max="4309" width="6.5546875" style="5" customWidth="1"/>
    <col min="4310" max="4310" width="7.33203125" style="5" customWidth="1"/>
    <col min="4311" max="4311" width="5.88671875" style="5" customWidth="1"/>
    <col min="4312" max="4314" width="7.109375" style="5" customWidth="1"/>
    <col min="4315" max="4315" width="7.33203125" style="5" customWidth="1"/>
    <col min="4316" max="4316" width="7.6640625" style="5" customWidth="1"/>
    <col min="4317" max="4317" width="8.109375" style="5" customWidth="1"/>
    <col min="4318" max="4318" width="7.109375" style="5" customWidth="1"/>
    <col min="4319" max="4319" width="8.33203125" style="5" customWidth="1"/>
    <col min="4320" max="4320" width="7.6640625" style="5" customWidth="1"/>
    <col min="4321" max="4321" width="8.33203125" style="5" customWidth="1"/>
    <col min="4322" max="4322" width="7.33203125" style="5" customWidth="1"/>
    <col min="4323" max="4323" width="8.44140625" style="5" customWidth="1"/>
    <col min="4324" max="4324" width="6.88671875" style="5" customWidth="1"/>
    <col min="4325" max="4325" width="7.88671875" style="5" customWidth="1"/>
    <col min="4326" max="4326" width="5.44140625" style="5" customWidth="1"/>
    <col min="4327" max="4327" width="6.44140625" style="5" customWidth="1"/>
    <col min="4328" max="4328" width="6.109375" style="5" customWidth="1"/>
    <col min="4329" max="4329" width="8.44140625" style="5" customWidth="1"/>
    <col min="4330" max="4330" width="7" style="5" customWidth="1"/>
    <col min="4331" max="4331" width="7.109375" style="5" customWidth="1"/>
    <col min="4332" max="4332" width="6.33203125" style="5" customWidth="1"/>
    <col min="4333" max="4333" width="7.6640625" style="5" customWidth="1"/>
    <col min="4334" max="4334" width="6.33203125" style="5" customWidth="1"/>
    <col min="4335" max="4335" width="7.6640625" style="5" customWidth="1"/>
    <col min="4336" max="4336" width="5.6640625" style="5" customWidth="1"/>
    <col min="4337" max="4337" width="7.109375" style="5" customWidth="1"/>
    <col min="4338" max="4338" width="6.33203125" style="5" customWidth="1"/>
    <col min="4339" max="4339" width="7.5546875" style="5" customWidth="1"/>
    <col min="4340" max="4340" width="6.109375" style="5" customWidth="1"/>
    <col min="4341" max="4341" width="7.5546875" style="5" customWidth="1"/>
    <col min="4342" max="4342" width="5.44140625" style="5" customWidth="1"/>
    <col min="4343" max="4343" width="7" style="5" customWidth="1"/>
    <col min="4344" max="4344" width="7.6640625" style="5" customWidth="1"/>
    <col min="4345" max="4345" width="8" style="5" customWidth="1"/>
    <col min="4346" max="4346" width="7.44140625" style="5" customWidth="1"/>
    <col min="4347" max="4347" width="12.6640625" style="5" customWidth="1"/>
    <col min="4348" max="4348" width="7.44140625" style="5" customWidth="1"/>
    <col min="4349" max="4349" width="12.6640625" style="5" customWidth="1"/>
    <col min="4350" max="4350" width="11" style="5" customWidth="1"/>
    <col min="4351" max="4351" width="12.6640625" style="5" customWidth="1"/>
    <col min="4352" max="4352" width="12.109375" style="5" customWidth="1"/>
    <col min="4353" max="4559" width="9.109375" style="5"/>
    <col min="4560" max="4560" width="4.109375" style="5" customWidth="1"/>
    <col min="4561" max="4561" width="26.6640625" style="5" customWidth="1"/>
    <col min="4562" max="4562" width="5.88671875" style="5" customWidth="1"/>
    <col min="4563" max="4563" width="8" style="5" customWidth="1"/>
    <col min="4564" max="4564" width="10.88671875" style="5" customWidth="1"/>
    <col min="4565" max="4565" width="6.5546875" style="5" customWidth="1"/>
    <col min="4566" max="4566" width="7.33203125" style="5" customWidth="1"/>
    <col min="4567" max="4567" width="5.88671875" style="5" customWidth="1"/>
    <col min="4568" max="4570" width="7.109375" style="5" customWidth="1"/>
    <col min="4571" max="4571" width="7.33203125" style="5" customWidth="1"/>
    <col min="4572" max="4572" width="7.6640625" style="5" customWidth="1"/>
    <col min="4573" max="4573" width="8.109375" style="5" customWidth="1"/>
    <col min="4574" max="4574" width="7.109375" style="5" customWidth="1"/>
    <col min="4575" max="4575" width="8.33203125" style="5" customWidth="1"/>
    <col min="4576" max="4576" width="7.6640625" style="5" customWidth="1"/>
    <col min="4577" max="4577" width="8.33203125" style="5" customWidth="1"/>
    <col min="4578" max="4578" width="7.33203125" style="5" customWidth="1"/>
    <col min="4579" max="4579" width="8.44140625" style="5" customWidth="1"/>
    <col min="4580" max="4580" width="6.88671875" style="5" customWidth="1"/>
    <col min="4581" max="4581" width="7.88671875" style="5" customWidth="1"/>
    <col min="4582" max="4582" width="5.44140625" style="5" customWidth="1"/>
    <col min="4583" max="4583" width="6.44140625" style="5" customWidth="1"/>
    <col min="4584" max="4584" width="6.109375" style="5" customWidth="1"/>
    <col min="4585" max="4585" width="8.44140625" style="5" customWidth="1"/>
    <col min="4586" max="4586" width="7" style="5" customWidth="1"/>
    <col min="4587" max="4587" width="7.109375" style="5" customWidth="1"/>
    <col min="4588" max="4588" width="6.33203125" style="5" customWidth="1"/>
    <col min="4589" max="4589" width="7.6640625" style="5" customWidth="1"/>
    <col min="4590" max="4590" width="6.33203125" style="5" customWidth="1"/>
    <col min="4591" max="4591" width="7.6640625" style="5" customWidth="1"/>
    <col min="4592" max="4592" width="5.6640625" style="5" customWidth="1"/>
    <col min="4593" max="4593" width="7.109375" style="5" customWidth="1"/>
    <col min="4594" max="4594" width="6.33203125" style="5" customWidth="1"/>
    <col min="4595" max="4595" width="7.5546875" style="5" customWidth="1"/>
    <col min="4596" max="4596" width="6.109375" style="5" customWidth="1"/>
    <col min="4597" max="4597" width="7.5546875" style="5" customWidth="1"/>
    <col min="4598" max="4598" width="5.44140625" style="5" customWidth="1"/>
    <col min="4599" max="4599" width="7" style="5" customWidth="1"/>
    <col min="4600" max="4600" width="7.6640625" style="5" customWidth="1"/>
    <col min="4601" max="4601" width="8" style="5" customWidth="1"/>
    <col min="4602" max="4602" width="7.44140625" style="5" customWidth="1"/>
    <col min="4603" max="4603" width="12.6640625" style="5" customWidth="1"/>
    <col min="4604" max="4604" width="7.44140625" style="5" customWidth="1"/>
    <col min="4605" max="4605" width="12.6640625" style="5" customWidth="1"/>
    <col min="4606" max="4606" width="11" style="5" customWidth="1"/>
    <col min="4607" max="4607" width="12.6640625" style="5" customWidth="1"/>
    <col min="4608" max="4608" width="12.109375" style="5" customWidth="1"/>
    <col min="4609" max="4815" width="9.109375" style="5"/>
    <col min="4816" max="4816" width="4.109375" style="5" customWidth="1"/>
    <col min="4817" max="4817" width="26.6640625" style="5" customWidth="1"/>
    <col min="4818" max="4818" width="5.88671875" style="5" customWidth="1"/>
    <col min="4819" max="4819" width="8" style="5" customWidth="1"/>
    <col min="4820" max="4820" width="10.88671875" style="5" customWidth="1"/>
    <col min="4821" max="4821" width="6.5546875" style="5" customWidth="1"/>
    <col min="4822" max="4822" width="7.33203125" style="5" customWidth="1"/>
    <col min="4823" max="4823" width="5.88671875" style="5" customWidth="1"/>
    <col min="4824" max="4826" width="7.109375" style="5" customWidth="1"/>
    <col min="4827" max="4827" width="7.33203125" style="5" customWidth="1"/>
    <col min="4828" max="4828" width="7.6640625" style="5" customWidth="1"/>
    <col min="4829" max="4829" width="8.109375" style="5" customWidth="1"/>
    <col min="4830" max="4830" width="7.109375" style="5" customWidth="1"/>
    <col min="4831" max="4831" width="8.33203125" style="5" customWidth="1"/>
    <col min="4832" max="4832" width="7.6640625" style="5" customWidth="1"/>
    <col min="4833" max="4833" width="8.33203125" style="5" customWidth="1"/>
    <col min="4834" max="4834" width="7.33203125" style="5" customWidth="1"/>
    <col min="4835" max="4835" width="8.44140625" style="5" customWidth="1"/>
    <col min="4836" max="4836" width="6.88671875" style="5" customWidth="1"/>
    <col min="4837" max="4837" width="7.88671875" style="5" customWidth="1"/>
    <col min="4838" max="4838" width="5.44140625" style="5" customWidth="1"/>
    <col min="4839" max="4839" width="6.44140625" style="5" customWidth="1"/>
    <col min="4840" max="4840" width="6.109375" style="5" customWidth="1"/>
    <col min="4841" max="4841" width="8.44140625" style="5" customWidth="1"/>
    <col min="4842" max="4842" width="7" style="5" customWidth="1"/>
    <col min="4843" max="4843" width="7.109375" style="5" customWidth="1"/>
    <col min="4844" max="4844" width="6.33203125" style="5" customWidth="1"/>
    <col min="4845" max="4845" width="7.6640625" style="5" customWidth="1"/>
    <col min="4846" max="4846" width="6.33203125" style="5" customWidth="1"/>
    <col min="4847" max="4847" width="7.6640625" style="5" customWidth="1"/>
    <col min="4848" max="4848" width="5.6640625" style="5" customWidth="1"/>
    <col min="4849" max="4849" width="7.109375" style="5" customWidth="1"/>
    <col min="4850" max="4850" width="6.33203125" style="5" customWidth="1"/>
    <col min="4851" max="4851" width="7.5546875" style="5" customWidth="1"/>
    <col min="4852" max="4852" width="6.109375" style="5" customWidth="1"/>
    <col min="4853" max="4853" width="7.5546875" style="5" customWidth="1"/>
    <col min="4854" max="4854" width="5.44140625" style="5" customWidth="1"/>
    <col min="4855" max="4855" width="7" style="5" customWidth="1"/>
    <col min="4856" max="4856" width="7.6640625" style="5" customWidth="1"/>
    <col min="4857" max="4857" width="8" style="5" customWidth="1"/>
    <col min="4858" max="4858" width="7.44140625" style="5" customWidth="1"/>
    <col min="4859" max="4859" width="12.6640625" style="5" customWidth="1"/>
    <col min="4860" max="4860" width="7.44140625" style="5" customWidth="1"/>
    <col min="4861" max="4861" width="12.6640625" style="5" customWidth="1"/>
    <col min="4862" max="4862" width="11" style="5" customWidth="1"/>
    <col min="4863" max="4863" width="12.6640625" style="5" customWidth="1"/>
    <col min="4864" max="4864" width="12.109375" style="5" customWidth="1"/>
    <col min="4865" max="5071" width="9.109375" style="5"/>
    <col min="5072" max="5072" width="4.109375" style="5" customWidth="1"/>
    <col min="5073" max="5073" width="26.6640625" style="5" customWidth="1"/>
    <col min="5074" max="5074" width="5.88671875" style="5" customWidth="1"/>
    <col min="5075" max="5075" width="8" style="5" customWidth="1"/>
    <col min="5076" max="5076" width="10.88671875" style="5" customWidth="1"/>
    <col min="5077" max="5077" width="6.5546875" style="5" customWidth="1"/>
    <col min="5078" max="5078" width="7.33203125" style="5" customWidth="1"/>
    <col min="5079" max="5079" width="5.88671875" style="5" customWidth="1"/>
    <col min="5080" max="5082" width="7.109375" style="5" customWidth="1"/>
    <col min="5083" max="5083" width="7.33203125" style="5" customWidth="1"/>
    <col min="5084" max="5084" width="7.6640625" style="5" customWidth="1"/>
    <col min="5085" max="5085" width="8.109375" style="5" customWidth="1"/>
    <col min="5086" max="5086" width="7.109375" style="5" customWidth="1"/>
    <col min="5087" max="5087" width="8.33203125" style="5" customWidth="1"/>
    <col min="5088" max="5088" width="7.6640625" style="5" customWidth="1"/>
    <col min="5089" max="5089" width="8.33203125" style="5" customWidth="1"/>
    <col min="5090" max="5090" width="7.33203125" style="5" customWidth="1"/>
    <col min="5091" max="5091" width="8.44140625" style="5" customWidth="1"/>
    <col min="5092" max="5092" width="6.88671875" style="5" customWidth="1"/>
    <col min="5093" max="5093" width="7.88671875" style="5" customWidth="1"/>
    <col min="5094" max="5094" width="5.44140625" style="5" customWidth="1"/>
    <col min="5095" max="5095" width="6.44140625" style="5" customWidth="1"/>
    <col min="5096" max="5096" width="6.109375" style="5" customWidth="1"/>
    <col min="5097" max="5097" width="8.44140625" style="5" customWidth="1"/>
    <col min="5098" max="5098" width="7" style="5" customWidth="1"/>
    <col min="5099" max="5099" width="7.109375" style="5" customWidth="1"/>
    <col min="5100" max="5100" width="6.33203125" style="5" customWidth="1"/>
    <col min="5101" max="5101" width="7.6640625" style="5" customWidth="1"/>
    <col min="5102" max="5102" width="6.33203125" style="5" customWidth="1"/>
    <col min="5103" max="5103" width="7.6640625" style="5" customWidth="1"/>
    <col min="5104" max="5104" width="5.6640625" style="5" customWidth="1"/>
    <col min="5105" max="5105" width="7.109375" style="5" customWidth="1"/>
    <col min="5106" max="5106" width="6.33203125" style="5" customWidth="1"/>
    <col min="5107" max="5107" width="7.5546875" style="5" customWidth="1"/>
    <col min="5108" max="5108" width="6.109375" style="5" customWidth="1"/>
    <col min="5109" max="5109" width="7.5546875" style="5" customWidth="1"/>
    <col min="5110" max="5110" width="5.44140625" style="5" customWidth="1"/>
    <col min="5111" max="5111" width="7" style="5" customWidth="1"/>
    <col min="5112" max="5112" width="7.6640625" style="5" customWidth="1"/>
    <col min="5113" max="5113" width="8" style="5" customWidth="1"/>
    <col min="5114" max="5114" width="7.44140625" style="5" customWidth="1"/>
    <col min="5115" max="5115" width="12.6640625" style="5" customWidth="1"/>
    <col min="5116" max="5116" width="7.44140625" style="5" customWidth="1"/>
    <col min="5117" max="5117" width="12.6640625" style="5" customWidth="1"/>
    <col min="5118" max="5118" width="11" style="5" customWidth="1"/>
    <col min="5119" max="5119" width="12.6640625" style="5" customWidth="1"/>
    <col min="5120" max="5120" width="12.109375" style="5" customWidth="1"/>
    <col min="5121" max="5327" width="9.109375" style="5"/>
    <col min="5328" max="5328" width="4.109375" style="5" customWidth="1"/>
    <col min="5329" max="5329" width="26.6640625" style="5" customWidth="1"/>
    <col min="5330" max="5330" width="5.88671875" style="5" customWidth="1"/>
    <col min="5331" max="5331" width="8" style="5" customWidth="1"/>
    <col min="5332" max="5332" width="10.88671875" style="5" customWidth="1"/>
    <col min="5333" max="5333" width="6.5546875" style="5" customWidth="1"/>
    <col min="5334" max="5334" width="7.33203125" style="5" customWidth="1"/>
    <col min="5335" max="5335" width="5.88671875" style="5" customWidth="1"/>
    <col min="5336" max="5338" width="7.109375" style="5" customWidth="1"/>
    <col min="5339" max="5339" width="7.33203125" style="5" customWidth="1"/>
    <col min="5340" max="5340" width="7.6640625" style="5" customWidth="1"/>
    <col min="5341" max="5341" width="8.109375" style="5" customWidth="1"/>
    <col min="5342" max="5342" width="7.109375" style="5" customWidth="1"/>
    <col min="5343" max="5343" width="8.33203125" style="5" customWidth="1"/>
    <col min="5344" max="5344" width="7.6640625" style="5" customWidth="1"/>
    <col min="5345" max="5345" width="8.33203125" style="5" customWidth="1"/>
    <col min="5346" max="5346" width="7.33203125" style="5" customWidth="1"/>
    <col min="5347" max="5347" width="8.44140625" style="5" customWidth="1"/>
    <col min="5348" max="5348" width="6.88671875" style="5" customWidth="1"/>
    <col min="5349" max="5349" width="7.88671875" style="5" customWidth="1"/>
    <col min="5350" max="5350" width="5.44140625" style="5" customWidth="1"/>
    <col min="5351" max="5351" width="6.44140625" style="5" customWidth="1"/>
    <col min="5352" max="5352" width="6.109375" style="5" customWidth="1"/>
    <col min="5353" max="5353" width="8.44140625" style="5" customWidth="1"/>
    <col min="5354" max="5354" width="7" style="5" customWidth="1"/>
    <col min="5355" max="5355" width="7.109375" style="5" customWidth="1"/>
    <col min="5356" max="5356" width="6.33203125" style="5" customWidth="1"/>
    <col min="5357" max="5357" width="7.6640625" style="5" customWidth="1"/>
    <col min="5358" max="5358" width="6.33203125" style="5" customWidth="1"/>
    <col min="5359" max="5359" width="7.6640625" style="5" customWidth="1"/>
    <col min="5360" max="5360" width="5.6640625" style="5" customWidth="1"/>
    <col min="5361" max="5361" width="7.109375" style="5" customWidth="1"/>
    <col min="5362" max="5362" width="6.33203125" style="5" customWidth="1"/>
    <col min="5363" max="5363" width="7.5546875" style="5" customWidth="1"/>
    <col min="5364" max="5364" width="6.109375" style="5" customWidth="1"/>
    <col min="5365" max="5365" width="7.5546875" style="5" customWidth="1"/>
    <col min="5366" max="5366" width="5.44140625" style="5" customWidth="1"/>
    <col min="5367" max="5367" width="7" style="5" customWidth="1"/>
    <col min="5368" max="5368" width="7.6640625" style="5" customWidth="1"/>
    <col min="5369" max="5369" width="8" style="5" customWidth="1"/>
    <col min="5370" max="5370" width="7.44140625" style="5" customWidth="1"/>
    <col min="5371" max="5371" width="12.6640625" style="5" customWidth="1"/>
    <col min="5372" max="5372" width="7.44140625" style="5" customWidth="1"/>
    <col min="5373" max="5373" width="12.6640625" style="5" customWidth="1"/>
    <col min="5374" max="5374" width="11" style="5" customWidth="1"/>
    <col min="5375" max="5375" width="12.6640625" style="5" customWidth="1"/>
    <col min="5376" max="5376" width="12.109375" style="5" customWidth="1"/>
    <col min="5377" max="5583" width="9.109375" style="5"/>
    <col min="5584" max="5584" width="4.109375" style="5" customWidth="1"/>
    <col min="5585" max="5585" width="26.6640625" style="5" customWidth="1"/>
    <col min="5586" max="5586" width="5.88671875" style="5" customWidth="1"/>
    <col min="5587" max="5587" width="8" style="5" customWidth="1"/>
    <col min="5588" max="5588" width="10.88671875" style="5" customWidth="1"/>
    <col min="5589" max="5589" width="6.5546875" style="5" customWidth="1"/>
    <col min="5590" max="5590" width="7.33203125" style="5" customWidth="1"/>
    <col min="5591" max="5591" width="5.88671875" style="5" customWidth="1"/>
    <col min="5592" max="5594" width="7.109375" style="5" customWidth="1"/>
    <col min="5595" max="5595" width="7.33203125" style="5" customWidth="1"/>
    <col min="5596" max="5596" width="7.6640625" style="5" customWidth="1"/>
    <col min="5597" max="5597" width="8.109375" style="5" customWidth="1"/>
    <col min="5598" max="5598" width="7.109375" style="5" customWidth="1"/>
    <col min="5599" max="5599" width="8.33203125" style="5" customWidth="1"/>
    <col min="5600" max="5600" width="7.6640625" style="5" customWidth="1"/>
    <col min="5601" max="5601" width="8.33203125" style="5" customWidth="1"/>
    <col min="5602" max="5602" width="7.33203125" style="5" customWidth="1"/>
    <col min="5603" max="5603" width="8.44140625" style="5" customWidth="1"/>
    <col min="5604" max="5604" width="6.88671875" style="5" customWidth="1"/>
    <col min="5605" max="5605" width="7.88671875" style="5" customWidth="1"/>
    <col min="5606" max="5606" width="5.44140625" style="5" customWidth="1"/>
    <col min="5607" max="5607" width="6.44140625" style="5" customWidth="1"/>
    <col min="5608" max="5608" width="6.109375" style="5" customWidth="1"/>
    <col min="5609" max="5609" width="8.44140625" style="5" customWidth="1"/>
    <col min="5610" max="5610" width="7" style="5" customWidth="1"/>
    <col min="5611" max="5611" width="7.109375" style="5" customWidth="1"/>
    <col min="5612" max="5612" width="6.33203125" style="5" customWidth="1"/>
    <col min="5613" max="5613" width="7.6640625" style="5" customWidth="1"/>
    <col min="5614" max="5614" width="6.33203125" style="5" customWidth="1"/>
    <col min="5615" max="5615" width="7.6640625" style="5" customWidth="1"/>
    <col min="5616" max="5616" width="5.6640625" style="5" customWidth="1"/>
    <col min="5617" max="5617" width="7.109375" style="5" customWidth="1"/>
    <col min="5618" max="5618" width="6.33203125" style="5" customWidth="1"/>
    <col min="5619" max="5619" width="7.5546875" style="5" customWidth="1"/>
    <col min="5620" max="5620" width="6.109375" style="5" customWidth="1"/>
    <col min="5621" max="5621" width="7.5546875" style="5" customWidth="1"/>
    <col min="5622" max="5622" width="5.44140625" style="5" customWidth="1"/>
    <col min="5623" max="5623" width="7" style="5" customWidth="1"/>
    <col min="5624" max="5624" width="7.6640625" style="5" customWidth="1"/>
    <col min="5625" max="5625" width="8" style="5" customWidth="1"/>
    <col min="5626" max="5626" width="7.44140625" style="5" customWidth="1"/>
    <col min="5627" max="5627" width="12.6640625" style="5" customWidth="1"/>
    <col min="5628" max="5628" width="7.44140625" style="5" customWidth="1"/>
    <col min="5629" max="5629" width="12.6640625" style="5" customWidth="1"/>
    <col min="5630" max="5630" width="11" style="5" customWidth="1"/>
    <col min="5631" max="5631" width="12.6640625" style="5" customWidth="1"/>
    <col min="5632" max="5632" width="12.109375" style="5" customWidth="1"/>
    <col min="5633" max="5839" width="9.109375" style="5"/>
    <col min="5840" max="5840" width="4.109375" style="5" customWidth="1"/>
    <col min="5841" max="5841" width="26.6640625" style="5" customWidth="1"/>
    <col min="5842" max="5842" width="5.88671875" style="5" customWidth="1"/>
    <col min="5843" max="5843" width="8" style="5" customWidth="1"/>
    <col min="5844" max="5844" width="10.88671875" style="5" customWidth="1"/>
    <col min="5845" max="5845" width="6.5546875" style="5" customWidth="1"/>
    <col min="5846" max="5846" width="7.33203125" style="5" customWidth="1"/>
    <col min="5847" max="5847" width="5.88671875" style="5" customWidth="1"/>
    <col min="5848" max="5850" width="7.109375" style="5" customWidth="1"/>
    <col min="5851" max="5851" width="7.33203125" style="5" customWidth="1"/>
    <col min="5852" max="5852" width="7.6640625" style="5" customWidth="1"/>
    <col min="5853" max="5853" width="8.109375" style="5" customWidth="1"/>
    <col min="5854" max="5854" width="7.109375" style="5" customWidth="1"/>
    <col min="5855" max="5855" width="8.33203125" style="5" customWidth="1"/>
    <col min="5856" max="5856" width="7.6640625" style="5" customWidth="1"/>
    <col min="5857" max="5857" width="8.33203125" style="5" customWidth="1"/>
    <col min="5858" max="5858" width="7.33203125" style="5" customWidth="1"/>
    <col min="5859" max="5859" width="8.44140625" style="5" customWidth="1"/>
    <col min="5860" max="5860" width="6.88671875" style="5" customWidth="1"/>
    <col min="5861" max="5861" width="7.88671875" style="5" customWidth="1"/>
    <col min="5862" max="5862" width="5.44140625" style="5" customWidth="1"/>
    <col min="5863" max="5863" width="6.44140625" style="5" customWidth="1"/>
    <col min="5864" max="5864" width="6.109375" style="5" customWidth="1"/>
    <col min="5865" max="5865" width="8.44140625" style="5" customWidth="1"/>
    <col min="5866" max="5866" width="7" style="5" customWidth="1"/>
    <col min="5867" max="5867" width="7.109375" style="5" customWidth="1"/>
    <col min="5868" max="5868" width="6.33203125" style="5" customWidth="1"/>
    <col min="5869" max="5869" width="7.6640625" style="5" customWidth="1"/>
    <col min="5870" max="5870" width="6.33203125" style="5" customWidth="1"/>
    <col min="5871" max="5871" width="7.6640625" style="5" customWidth="1"/>
    <col min="5872" max="5872" width="5.6640625" style="5" customWidth="1"/>
    <col min="5873" max="5873" width="7.109375" style="5" customWidth="1"/>
    <col min="5874" max="5874" width="6.33203125" style="5" customWidth="1"/>
    <col min="5875" max="5875" width="7.5546875" style="5" customWidth="1"/>
    <col min="5876" max="5876" width="6.109375" style="5" customWidth="1"/>
    <col min="5877" max="5877" width="7.5546875" style="5" customWidth="1"/>
    <col min="5878" max="5878" width="5.44140625" style="5" customWidth="1"/>
    <col min="5879" max="5879" width="7" style="5" customWidth="1"/>
    <col min="5880" max="5880" width="7.6640625" style="5" customWidth="1"/>
    <col min="5881" max="5881" width="8" style="5" customWidth="1"/>
    <col min="5882" max="5882" width="7.44140625" style="5" customWidth="1"/>
    <col min="5883" max="5883" width="12.6640625" style="5" customWidth="1"/>
    <col min="5884" max="5884" width="7.44140625" style="5" customWidth="1"/>
    <col min="5885" max="5885" width="12.6640625" style="5" customWidth="1"/>
    <col min="5886" max="5886" width="11" style="5" customWidth="1"/>
    <col min="5887" max="5887" width="12.6640625" style="5" customWidth="1"/>
    <col min="5888" max="5888" width="12.109375" style="5" customWidth="1"/>
    <col min="5889" max="6095" width="9.109375" style="5"/>
    <col min="6096" max="6096" width="4.109375" style="5" customWidth="1"/>
    <col min="6097" max="6097" width="26.6640625" style="5" customWidth="1"/>
    <col min="6098" max="6098" width="5.88671875" style="5" customWidth="1"/>
    <col min="6099" max="6099" width="8" style="5" customWidth="1"/>
    <col min="6100" max="6100" width="10.88671875" style="5" customWidth="1"/>
    <col min="6101" max="6101" width="6.5546875" style="5" customWidth="1"/>
    <col min="6102" max="6102" width="7.33203125" style="5" customWidth="1"/>
    <col min="6103" max="6103" width="5.88671875" style="5" customWidth="1"/>
    <col min="6104" max="6106" width="7.109375" style="5" customWidth="1"/>
    <col min="6107" max="6107" width="7.33203125" style="5" customWidth="1"/>
    <col min="6108" max="6108" width="7.6640625" style="5" customWidth="1"/>
    <col min="6109" max="6109" width="8.109375" style="5" customWidth="1"/>
    <col min="6110" max="6110" width="7.109375" style="5" customWidth="1"/>
    <col min="6111" max="6111" width="8.33203125" style="5" customWidth="1"/>
    <col min="6112" max="6112" width="7.6640625" style="5" customWidth="1"/>
    <col min="6113" max="6113" width="8.33203125" style="5" customWidth="1"/>
    <col min="6114" max="6114" width="7.33203125" style="5" customWidth="1"/>
    <col min="6115" max="6115" width="8.44140625" style="5" customWidth="1"/>
    <col min="6116" max="6116" width="6.88671875" style="5" customWidth="1"/>
    <col min="6117" max="6117" width="7.88671875" style="5" customWidth="1"/>
    <col min="6118" max="6118" width="5.44140625" style="5" customWidth="1"/>
    <col min="6119" max="6119" width="6.44140625" style="5" customWidth="1"/>
    <col min="6120" max="6120" width="6.109375" style="5" customWidth="1"/>
    <col min="6121" max="6121" width="8.44140625" style="5" customWidth="1"/>
    <col min="6122" max="6122" width="7" style="5" customWidth="1"/>
    <col min="6123" max="6123" width="7.109375" style="5" customWidth="1"/>
    <col min="6124" max="6124" width="6.33203125" style="5" customWidth="1"/>
    <col min="6125" max="6125" width="7.6640625" style="5" customWidth="1"/>
    <col min="6126" max="6126" width="6.33203125" style="5" customWidth="1"/>
    <col min="6127" max="6127" width="7.6640625" style="5" customWidth="1"/>
    <col min="6128" max="6128" width="5.6640625" style="5" customWidth="1"/>
    <col min="6129" max="6129" width="7.109375" style="5" customWidth="1"/>
    <col min="6130" max="6130" width="6.33203125" style="5" customWidth="1"/>
    <col min="6131" max="6131" width="7.5546875" style="5" customWidth="1"/>
    <col min="6132" max="6132" width="6.109375" style="5" customWidth="1"/>
    <col min="6133" max="6133" width="7.5546875" style="5" customWidth="1"/>
    <col min="6134" max="6134" width="5.44140625" style="5" customWidth="1"/>
    <col min="6135" max="6135" width="7" style="5" customWidth="1"/>
    <col min="6136" max="6136" width="7.6640625" style="5" customWidth="1"/>
    <col min="6137" max="6137" width="8" style="5" customWidth="1"/>
    <col min="6138" max="6138" width="7.44140625" style="5" customWidth="1"/>
    <col min="6139" max="6139" width="12.6640625" style="5" customWidth="1"/>
    <col min="6140" max="6140" width="7.44140625" style="5" customWidth="1"/>
    <col min="6141" max="6141" width="12.6640625" style="5" customWidth="1"/>
    <col min="6142" max="6142" width="11" style="5" customWidth="1"/>
    <col min="6143" max="6143" width="12.6640625" style="5" customWidth="1"/>
    <col min="6144" max="6144" width="12.109375" style="5" customWidth="1"/>
    <col min="6145" max="6351" width="9.109375" style="5"/>
    <col min="6352" max="6352" width="4.109375" style="5" customWidth="1"/>
    <col min="6353" max="6353" width="26.6640625" style="5" customWidth="1"/>
    <col min="6354" max="6354" width="5.88671875" style="5" customWidth="1"/>
    <col min="6355" max="6355" width="8" style="5" customWidth="1"/>
    <col min="6356" max="6356" width="10.88671875" style="5" customWidth="1"/>
    <col min="6357" max="6357" width="6.5546875" style="5" customWidth="1"/>
    <col min="6358" max="6358" width="7.33203125" style="5" customWidth="1"/>
    <col min="6359" max="6359" width="5.88671875" style="5" customWidth="1"/>
    <col min="6360" max="6362" width="7.109375" style="5" customWidth="1"/>
    <col min="6363" max="6363" width="7.33203125" style="5" customWidth="1"/>
    <col min="6364" max="6364" width="7.6640625" style="5" customWidth="1"/>
    <col min="6365" max="6365" width="8.109375" style="5" customWidth="1"/>
    <col min="6366" max="6366" width="7.109375" style="5" customWidth="1"/>
    <col min="6367" max="6367" width="8.33203125" style="5" customWidth="1"/>
    <col min="6368" max="6368" width="7.6640625" style="5" customWidth="1"/>
    <col min="6369" max="6369" width="8.33203125" style="5" customWidth="1"/>
    <col min="6370" max="6370" width="7.33203125" style="5" customWidth="1"/>
    <col min="6371" max="6371" width="8.44140625" style="5" customWidth="1"/>
    <col min="6372" max="6372" width="6.88671875" style="5" customWidth="1"/>
    <col min="6373" max="6373" width="7.88671875" style="5" customWidth="1"/>
    <col min="6374" max="6374" width="5.44140625" style="5" customWidth="1"/>
    <col min="6375" max="6375" width="6.44140625" style="5" customWidth="1"/>
    <col min="6376" max="6376" width="6.109375" style="5" customWidth="1"/>
    <col min="6377" max="6377" width="8.44140625" style="5" customWidth="1"/>
    <col min="6378" max="6378" width="7" style="5" customWidth="1"/>
    <col min="6379" max="6379" width="7.109375" style="5" customWidth="1"/>
    <col min="6380" max="6380" width="6.33203125" style="5" customWidth="1"/>
    <col min="6381" max="6381" width="7.6640625" style="5" customWidth="1"/>
    <col min="6382" max="6382" width="6.33203125" style="5" customWidth="1"/>
    <col min="6383" max="6383" width="7.6640625" style="5" customWidth="1"/>
    <col min="6384" max="6384" width="5.6640625" style="5" customWidth="1"/>
    <col min="6385" max="6385" width="7.109375" style="5" customWidth="1"/>
    <col min="6386" max="6386" width="6.33203125" style="5" customWidth="1"/>
    <col min="6387" max="6387" width="7.5546875" style="5" customWidth="1"/>
    <col min="6388" max="6388" width="6.109375" style="5" customWidth="1"/>
    <col min="6389" max="6389" width="7.5546875" style="5" customWidth="1"/>
    <col min="6390" max="6390" width="5.44140625" style="5" customWidth="1"/>
    <col min="6391" max="6391" width="7" style="5" customWidth="1"/>
    <col min="6392" max="6392" width="7.6640625" style="5" customWidth="1"/>
    <col min="6393" max="6393" width="8" style="5" customWidth="1"/>
    <col min="6394" max="6394" width="7.44140625" style="5" customWidth="1"/>
    <col min="6395" max="6395" width="12.6640625" style="5" customWidth="1"/>
    <col min="6396" max="6396" width="7.44140625" style="5" customWidth="1"/>
    <col min="6397" max="6397" width="12.6640625" style="5" customWidth="1"/>
    <col min="6398" max="6398" width="11" style="5" customWidth="1"/>
    <col min="6399" max="6399" width="12.6640625" style="5" customWidth="1"/>
    <col min="6400" max="6400" width="12.109375" style="5" customWidth="1"/>
    <col min="6401" max="6607" width="9.109375" style="5"/>
    <col min="6608" max="6608" width="4.109375" style="5" customWidth="1"/>
    <col min="6609" max="6609" width="26.6640625" style="5" customWidth="1"/>
    <col min="6610" max="6610" width="5.88671875" style="5" customWidth="1"/>
    <col min="6611" max="6611" width="8" style="5" customWidth="1"/>
    <col min="6612" max="6612" width="10.88671875" style="5" customWidth="1"/>
    <col min="6613" max="6613" width="6.5546875" style="5" customWidth="1"/>
    <col min="6614" max="6614" width="7.33203125" style="5" customWidth="1"/>
    <col min="6615" max="6615" width="5.88671875" style="5" customWidth="1"/>
    <col min="6616" max="6618" width="7.109375" style="5" customWidth="1"/>
    <col min="6619" max="6619" width="7.33203125" style="5" customWidth="1"/>
    <col min="6620" max="6620" width="7.6640625" style="5" customWidth="1"/>
    <col min="6621" max="6621" width="8.109375" style="5" customWidth="1"/>
    <col min="6622" max="6622" width="7.109375" style="5" customWidth="1"/>
    <col min="6623" max="6623" width="8.33203125" style="5" customWidth="1"/>
    <col min="6624" max="6624" width="7.6640625" style="5" customWidth="1"/>
    <col min="6625" max="6625" width="8.33203125" style="5" customWidth="1"/>
    <col min="6626" max="6626" width="7.33203125" style="5" customWidth="1"/>
    <col min="6627" max="6627" width="8.44140625" style="5" customWidth="1"/>
    <col min="6628" max="6628" width="6.88671875" style="5" customWidth="1"/>
    <col min="6629" max="6629" width="7.88671875" style="5" customWidth="1"/>
    <col min="6630" max="6630" width="5.44140625" style="5" customWidth="1"/>
    <col min="6631" max="6631" width="6.44140625" style="5" customWidth="1"/>
    <col min="6632" max="6632" width="6.109375" style="5" customWidth="1"/>
    <col min="6633" max="6633" width="8.44140625" style="5" customWidth="1"/>
    <col min="6634" max="6634" width="7" style="5" customWidth="1"/>
    <col min="6635" max="6635" width="7.109375" style="5" customWidth="1"/>
    <col min="6636" max="6636" width="6.33203125" style="5" customWidth="1"/>
    <col min="6637" max="6637" width="7.6640625" style="5" customWidth="1"/>
    <col min="6638" max="6638" width="6.33203125" style="5" customWidth="1"/>
    <col min="6639" max="6639" width="7.6640625" style="5" customWidth="1"/>
    <col min="6640" max="6640" width="5.6640625" style="5" customWidth="1"/>
    <col min="6641" max="6641" width="7.109375" style="5" customWidth="1"/>
    <col min="6642" max="6642" width="6.33203125" style="5" customWidth="1"/>
    <col min="6643" max="6643" width="7.5546875" style="5" customWidth="1"/>
    <col min="6644" max="6644" width="6.109375" style="5" customWidth="1"/>
    <col min="6645" max="6645" width="7.5546875" style="5" customWidth="1"/>
    <col min="6646" max="6646" width="5.44140625" style="5" customWidth="1"/>
    <col min="6647" max="6647" width="7" style="5" customWidth="1"/>
    <col min="6648" max="6648" width="7.6640625" style="5" customWidth="1"/>
    <col min="6649" max="6649" width="8" style="5" customWidth="1"/>
    <col min="6650" max="6650" width="7.44140625" style="5" customWidth="1"/>
    <col min="6651" max="6651" width="12.6640625" style="5" customWidth="1"/>
    <col min="6652" max="6652" width="7.44140625" style="5" customWidth="1"/>
    <col min="6653" max="6653" width="12.6640625" style="5" customWidth="1"/>
    <col min="6654" max="6654" width="11" style="5" customWidth="1"/>
    <col min="6655" max="6655" width="12.6640625" style="5" customWidth="1"/>
    <col min="6656" max="6656" width="12.109375" style="5" customWidth="1"/>
    <col min="6657" max="6863" width="9.109375" style="5"/>
    <col min="6864" max="6864" width="4.109375" style="5" customWidth="1"/>
    <col min="6865" max="6865" width="26.6640625" style="5" customWidth="1"/>
    <col min="6866" max="6866" width="5.88671875" style="5" customWidth="1"/>
    <col min="6867" max="6867" width="8" style="5" customWidth="1"/>
    <col min="6868" max="6868" width="10.88671875" style="5" customWidth="1"/>
    <col min="6869" max="6869" width="6.5546875" style="5" customWidth="1"/>
    <col min="6870" max="6870" width="7.33203125" style="5" customWidth="1"/>
    <col min="6871" max="6871" width="5.88671875" style="5" customWidth="1"/>
    <col min="6872" max="6874" width="7.109375" style="5" customWidth="1"/>
    <col min="6875" max="6875" width="7.33203125" style="5" customWidth="1"/>
    <col min="6876" max="6876" width="7.6640625" style="5" customWidth="1"/>
    <col min="6877" max="6877" width="8.109375" style="5" customWidth="1"/>
    <col min="6878" max="6878" width="7.109375" style="5" customWidth="1"/>
    <col min="6879" max="6879" width="8.33203125" style="5" customWidth="1"/>
    <col min="6880" max="6880" width="7.6640625" style="5" customWidth="1"/>
    <col min="6881" max="6881" width="8.33203125" style="5" customWidth="1"/>
    <col min="6882" max="6882" width="7.33203125" style="5" customWidth="1"/>
    <col min="6883" max="6883" width="8.44140625" style="5" customWidth="1"/>
    <col min="6884" max="6884" width="6.88671875" style="5" customWidth="1"/>
    <col min="6885" max="6885" width="7.88671875" style="5" customWidth="1"/>
    <col min="6886" max="6886" width="5.44140625" style="5" customWidth="1"/>
    <col min="6887" max="6887" width="6.44140625" style="5" customWidth="1"/>
    <col min="6888" max="6888" width="6.109375" style="5" customWidth="1"/>
    <col min="6889" max="6889" width="8.44140625" style="5" customWidth="1"/>
    <col min="6890" max="6890" width="7" style="5" customWidth="1"/>
    <col min="6891" max="6891" width="7.109375" style="5" customWidth="1"/>
    <col min="6892" max="6892" width="6.33203125" style="5" customWidth="1"/>
    <col min="6893" max="6893" width="7.6640625" style="5" customWidth="1"/>
    <col min="6894" max="6894" width="6.33203125" style="5" customWidth="1"/>
    <col min="6895" max="6895" width="7.6640625" style="5" customWidth="1"/>
    <col min="6896" max="6896" width="5.6640625" style="5" customWidth="1"/>
    <col min="6897" max="6897" width="7.109375" style="5" customWidth="1"/>
    <col min="6898" max="6898" width="6.33203125" style="5" customWidth="1"/>
    <col min="6899" max="6899" width="7.5546875" style="5" customWidth="1"/>
    <col min="6900" max="6900" width="6.109375" style="5" customWidth="1"/>
    <col min="6901" max="6901" width="7.5546875" style="5" customWidth="1"/>
    <col min="6902" max="6902" width="5.44140625" style="5" customWidth="1"/>
    <col min="6903" max="6903" width="7" style="5" customWidth="1"/>
    <col min="6904" max="6904" width="7.6640625" style="5" customWidth="1"/>
    <col min="6905" max="6905" width="8" style="5" customWidth="1"/>
    <col min="6906" max="6906" width="7.44140625" style="5" customWidth="1"/>
    <col min="6907" max="6907" width="12.6640625" style="5" customWidth="1"/>
    <col min="6908" max="6908" width="7.44140625" style="5" customWidth="1"/>
    <col min="6909" max="6909" width="12.6640625" style="5" customWidth="1"/>
    <col min="6910" max="6910" width="11" style="5" customWidth="1"/>
    <col min="6911" max="6911" width="12.6640625" style="5" customWidth="1"/>
    <col min="6912" max="6912" width="12.109375" style="5" customWidth="1"/>
    <col min="6913" max="7119" width="9.109375" style="5"/>
    <col min="7120" max="7120" width="4.109375" style="5" customWidth="1"/>
    <col min="7121" max="7121" width="26.6640625" style="5" customWidth="1"/>
    <col min="7122" max="7122" width="5.88671875" style="5" customWidth="1"/>
    <col min="7123" max="7123" width="8" style="5" customWidth="1"/>
    <col min="7124" max="7124" width="10.88671875" style="5" customWidth="1"/>
    <col min="7125" max="7125" width="6.5546875" style="5" customWidth="1"/>
    <col min="7126" max="7126" width="7.33203125" style="5" customWidth="1"/>
    <col min="7127" max="7127" width="5.88671875" style="5" customWidth="1"/>
    <col min="7128" max="7130" width="7.109375" style="5" customWidth="1"/>
    <col min="7131" max="7131" width="7.33203125" style="5" customWidth="1"/>
    <col min="7132" max="7132" width="7.6640625" style="5" customWidth="1"/>
    <col min="7133" max="7133" width="8.109375" style="5" customWidth="1"/>
    <col min="7134" max="7134" width="7.109375" style="5" customWidth="1"/>
    <col min="7135" max="7135" width="8.33203125" style="5" customWidth="1"/>
    <col min="7136" max="7136" width="7.6640625" style="5" customWidth="1"/>
    <col min="7137" max="7137" width="8.33203125" style="5" customWidth="1"/>
    <col min="7138" max="7138" width="7.33203125" style="5" customWidth="1"/>
    <col min="7139" max="7139" width="8.44140625" style="5" customWidth="1"/>
    <col min="7140" max="7140" width="6.88671875" style="5" customWidth="1"/>
    <col min="7141" max="7141" width="7.88671875" style="5" customWidth="1"/>
    <col min="7142" max="7142" width="5.44140625" style="5" customWidth="1"/>
    <col min="7143" max="7143" width="6.44140625" style="5" customWidth="1"/>
    <col min="7144" max="7144" width="6.109375" style="5" customWidth="1"/>
    <col min="7145" max="7145" width="8.44140625" style="5" customWidth="1"/>
    <col min="7146" max="7146" width="7" style="5" customWidth="1"/>
    <col min="7147" max="7147" width="7.109375" style="5" customWidth="1"/>
    <col min="7148" max="7148" width="6.33203125" style="5" customWidth="1"/>
    <col min="7149" max="7149" width="7.6640625" style="5" customWidth="1"/>
    <col min="7150" max="7150" width="6.33203125" style="5" customWidth="1"/>
    <col min="7151" max="7151" width="7.6640625" style="5" customWidth="1"/>
    <col min="7152" max="7152" width="5.6640625" style="5" customWidth="1"/>
    <col min="7153" max="7153" width="7.109375" style="5" customWidth="1"/>
    <col min="7154" max="7154" width="6.33203125" style="5" customWidth="1"/>
    <col min="7155" max="7155" width="7.5546875" style="5" customWidth="1"/>
    <col min="7156" max="7156" width="6.109375" style="5" customWidth="1"/>
    <col min="7157" max="7157" width="7.5546875" style="5" customWidth="1"/>
    <col min="7158" max="7158" width="5.44140625" style="5" customWidth="1"/>
    <col min="7159" max="7159" width="7" style="5" customWidth="1"/>
    <col min="7160" max="7160" width="7.6640625" style="5" customWidth="1"/>
    <col min="7161" max="7161" width="8" style="5" customWidth="1"/>
    <col min="7162" max="7162" width="7.44140625" style="5" customWidth="1"/>
    <col min="7163" max="7163" width="12.6640625" style="5" customWidth="1"/>
    <col min="7164" max="7164" width="7.44140625" style="5" customWidth="1"/>
    <col min="7165" max="7165" width="12.6640625" style="5" customWidth="1"/>
    <col min="7166" max="7166" width="11" style="5" customWidth="1"/>
    <col min="7167" max="7167" width="12.6640625" style="5" customWidth="1"/>
    <col min="7168" max="7168" width="12.109375" style="5" customWidth="1"/>
    <col min="7169" max="7375" width="9.109375" style="5"/>
    <col min="7376" max="7376" width="4.109375" style="5" customWidth="1"/>
    <col min="7377" max="7377" width="26.6640625" style="5" customWidth="1"/>
    <col min="7378" max="7378" width="5.88671875" style="5" customWidth="1"/>
    <col min="7379" max="7379" width="8" style="5" customWidth="1"/>
    <col min="7380" max="7380" width="10.88671875" style="5" customWidth="1"/>
    <col min="7381" max="7381" width="6.5546875" style="5" customWidth="1"/>
    <col min="7382" max="7382" width="7.33203125" style="5" customWidth="1"/>
    <col min="7383" max="7383" width="5.88671875" style="5" customWidth="1"/>
    <col min="7384" max="7386" width="7.109375" style="5" customWidth="1"/>
    <col min="7387" max="7387" width="7.33203125" style="5" customWidth="1"/>
    <col min="7388" max="7388" width="7.6640625" style="5" customWidth="1"/>
    <col min="7389" max="7389" width="8.109375" style="5" customWidth="1"/>
    <col min="7390" max="7390" width="7.109375" style="5" customWidth="1"/>
    <col min="7391" max="7391" width="8.33203125" style="5" customWidth="1"/>
    <col min="7392" max="7392" width="7.6640625" style="5" customWidth="1"/>
    <col min="7393" max="7393" width="8.33203125" style="5" customWidth="1"/>
    <col min="7394" max="7394" width="7.33203125" style="5" customWidth="1"/>
    <col min="7395" max="7395" width="8.44140625" style="5" customWidth="1"/>
    <col min="7396" max="7396" width="6.88671875" style="5" customWidth="1"/>
    <col min="7397" max="7397" width="7.88671875" style="5" customWidth="1"/>
    <col min="7398" max="7398" width="5.44140625" style="5" customWidth="1"/>
    <col min="7399" max="7399" width="6.44140625" style="5" customWidth="1"/>
    <col min="7400" max="7400" width="6.109375" style="5" customWidth="1"/>
    <col min="7401" max="7401" width="8.44140625" style="5" customWidth="1"/>
    <col min="7402" max="7402" width="7" style="5" customWidth="1"/>
    <col min="7403" max="7403" width="7.109375" style="5" customWidth="1"/>
    <col min="7404" max="7404" width="6.33203125" style="5" customWidth="1"/>
    <col min="7405" max="7405" width="7.6640625" style="5" customWidth="1"/>
    <col min="7406" max="7406" width="6.33203125" style="5" customWidth="1"/>
    <col min="7407" max="7407" width="7.6640625" style="5" customWidth="1"/>
    <col min="7408" max="7408" width="5.6640625" style="5" customWidth="1"/>
    <col min="7409" max="7409" width="7.109375" style="5" customWidth="1"/>
    <col min="7410" max="7410" width="6.33203125" style="5" customWidth="1"/>
    <col min="7411" max="7411" width="7.5546875" style="5" customWidth="1"/>
    <col min="7412" max="7412" width="6.109375" style="5" customWidth="1"/>
    <col min="7413" max="7413" width="7.5546875" style="5" customWidth="1"/>
    <col min="7414" max="7414" width="5.44140625" style="5" customWidth="1"/>
    <col min="7415" max="7415" width="7" style="5" customWidth="1"/>
    <col min="7416" max="7416" width="7.6640625" style="5" customWidth="1"/>
    <col min="7417" max="7417" width="8" style="5" customWidth="1"/>
    <col min="7418" max="7418" width="7.44140625" style="5" customWidth="1"/>
    <col min="7419" max="7419" width="12.6640625" style="5" customWidth="1"/>
    <col min="7420" max="7420" width="7.44140625" style="5" customWidth="1"/>
    <col min="7421" max="7421" width="12.6640625" style="5" customWidth="1"/>
    <col min="7422" max="7422" width="11" style="5" customWidth="1"/>
    <col min="7423" max="7423" width="12.6640625" style="5" customWidth="1"/>
    <col min="7424" max="7424" width="12.109375" style="5" customWidth="1"/>
    <col min="7425" max="7631" width="9.109375" style="5"/>
    <col min="7632" max="7632" width="4.109375" style="5" customWidth="1"/>
    <col min="7633" max="7633" width="26.6640625" style="5" customWidth="1"/>
    <col min="7634" max="7634" width="5.88671875" style="5" customWidth="1"/>
    <col min="7635" max="7635" width="8" style="5" customWidth="1"/>
    <col min="7636" max="7636" width="10.88671875" style="5" customWidth="1"/>
    <col min="7637" max="7637" width="6.5546875" style="5" customWidth="1"/>
    <col min="7638" max="7638" width="7.33203125" style="5" customWidth="1"/>
    <col min="7639" max="7639" width="5.88671875" style="5" customWidth="1"/>
    <col min="7640" max="7642" width="7.109375" style="5" customWidth="1"/>
    <col min="7643" max="7643" width="7.33203125" style="5" customWidth="1"/>
    <col min="7644" max="7644" width="7.6640625" style="5" customWidth="1"/>
    <col min="7645" max="7645" width="8.109375" style="5" customWidth="1"/>
    <col min="7646" max="7646" width="7.109375" style="5" customWidth="1"/>
    <col min="7647" max="7647" width="8.33203125" style="5" customWidth="1"/>
    <col min="7648" max="7648" width="7.6640625" style="5" customWidth="1"/>
    <col min="7649" max="7649" width="8.33203125" style="5" customWidth="1"/>
    <col min="7650" max="7650" width="7.33203125" style="5" customWidth="1"/>
    <col min="7651" max="7651" width="8.44140625" style="5" customWidth="1"/>
    <col min="7652" max="7652" width="6.88671875" style="5" customWidth="1"/>
    <col min="7653" max="7653" width="7.88671875" style="5" customWidth="1"/>
    <col min="7654" max="7654" width="5.44140625" style="5" customWidth="1"/>
    <col min="7655" max="7655" width="6.44140625" style="5" customWidth="1"/>
    <col min="7656" max="7656" width="6.109375" style="5" customWidth="1"/>
    <col min="7657" max="7657" width="8.44140625" style="5" customWidth="1"/>
    <col min="7658" max="7658" width="7" style="5" customWidth="1"/>
    <col min="7659" max="7659" width="7.109375" style="5" customWidth="1"/>
    <col min="7660" max="7660" width="6.33203125" style="5" customWidth="1"/>
    <col min="7661" max="7661" width="7.6640625" style="5" customWidth="1"/>
    <col min="7662" max="7662" width="6.33203125" style="5" customWidth="1"/>
    <col min="7663" max="7663" width="7.6640625" style="5" customWidth="1"/>
    <col min="7664" max="7664" width="5.6640625" style="5" customWidth="1"/>
    <col min="7665" max="7665" width="7.109375" style="5" customWidth="1"/>
    <col min="7666" max="7666" width="6.33203125" style="5" customWidth="1"/>
    <col min="7667" max="7667" width="7.5546875" style="5" customWidth="1"/>
    <col min="7668" max="7668" width="6.109375" style="5" customWidth="1"/>
    <col min="7669" max="7669" width="7.5546875" style="5" customWidth="1"/>
    <col min="7670" max="7670" width="5.44140625" style="5" customWidth="1"/>
    <col min="7671" max="7671" width="7" style="5" customWidth="1"/>
    <col min="7672" max="7672" width="7.6640625" style="5" customWidth="1"/>
    <col min="7673" max="7673" width="8" style="5" customWidth="1"/>
    <col min="7674" max="7674" width="7.44140625" style="5" customWidth="1"/>
    <col min="7675" max="7675" width="12.6640625" style="5" customWidth="1"/>
    <col min="7676" max="7676" width="7.44140625" style="5" customWidth="1"/>
    <col min="7677" max="7677" width="12.6640625" style="5" customWidth="1"/>
    <col min="7678" max="7678" width="11" style="5" customWidth="1"/>
    <col min="7679" max="7679" width="12.6640625" style="5" customWidth="1"/>
    <col min="7680" max="7680" width="12.109375" style="5" customWidth="1"/>
    <col min="7681" max="7887" width="9.109375" style="5"/>
    <col min="7888" max="7888" width="4.109375" style="5" customWidth="1"/>
    <col min="7889" max="7889" width="26.6640625" style="5" customWidth="1"/>
    <col min="7890" max="7890" width="5.88671875" style="5" customWidth="1"/>
    <col min="7891" max="7891" width="8" style="5" customWidth="1"/>
    <col min="7892" max="7892" width="10.88671875" style="5" customWidth="1"/>
    <col min="7893" max="7893" width="6.5546875" style="5" customWidth="1"/>
    <col min="7894" max="7894" width="7.33203125" style="5" customWidth="1"/>
    <col min="7895" max="7895" width="5.88671875" style="5" customWidth="1"/>
    <col min="7896" max="7898" width="7.109375" style="5" customWidth="1"/>
    <col min="7899" max="7899" width="7.33203125" style="5" customWidth="1"/>
    <col min="7900" max="7900" width="7.6640625" style="5" customWidth="1"/>
    <col min="7901" max="7901" width="8.109375" style="5" customWidth="1"/>
    <col min="7902" max="7902" width="7.109375" style="5" customWidth="1"/>
    <col min="7903" max="7903" width="8.33203125" style="5" customWidth="1"/>
    <col min="7904" max="7904" width="7.6640625" style="5" customWidth="1"/>
    <col min="7905" max="7905" width="8.33203125" style="5" customWidth="1"/>
    <col min="7906" max="7906" width="7.33203125" style="5" customWidth="1"/>
    <col min="7907" max="7907" width="8.44140625" style="5" customWidth="1"/>
    <col min="7908" max="7908" width="6.88671875" style="5" customWidth="1"/>
    <col min="7909" max="7909" width="7.88671875" style="5" customWidth="1"/>
    <col min="7910" max="7910" width="5.44140625" style="5" customWidth="1"/>
    <col min="7911" max="7911" width="6.44140625" style="5" customWidth="1"/>
    <col min="7912" max="7912" width="6.109375" style="5" customWidth="1"/>
    <col min="7913" max="7913" width="8.44140625" style="5" customWidth="1"/>
    <col min="7914" max="7914" width="7" style="5" customWidth="1"/>
    <col min="7915" max="7915" width="7.109375" style="5" customWidth="1"/>
    <col min="7916" max="7916" width="6.33203125" style="5" customWidth="1"/>
    <col min="7917" max="7917" width="7.6640625" style="5" customWidth="1"/>
    <col min="7918" max="7918" width="6.33203125" style="5" customWidth="1"/>
    <col min="7919" max="7919" width="7.6640625" style="5" customWidth="1"/>
    <col min="7920" max="7920" width="5.6640625" style="5" customWidth="1"/>
    <col min="7921" max="7921" width="7.109375" style="5" customWidth="1"/>
    <col min="7922" max="7922" width="6.33203125" style="5" customWidth="1"/>
    <col min="7923" max="7923" width="7.5546875" style="5" customWidth="1"/>
    <col min="7924" max="7924" width="6.109375" style="5" customWidth="1"/>
    <col min="7925" max="7925" width="7.5546875" style="5" customWidth="1"/>
    <col min="7926" max="7926" width="5.44140625" style="5" customWidth="1"/>
    <col min="7927" max="7927" width="7" style="5" customWidth="1"/>
    <col min="7928" max="7928" width="7.6640625" style="5" customWidth="1"/>
    <col min="7929" max="7929" width="8" style="5" customWidth="1"/>
    <col min="7930" max="7930" width="7.44140625" style="5" customWidth="1"/>
    <col min="7931" max="7931" width="12.6640625" style="5" customWidth="1"/>
    <col min="7932" max="7932" width="7.44140625" style="5" customWidth="1"/>
    <col min="7933" max="7933" width="12.6640625" style="5" customWidth="1"/>
    <col min="7934" max="7934" width="11" style="5" customWidth="1"/>
    <col min="7935" max="7935" width="12.6640625" style="5" customWidth="1"/>
    <col min="7936" max="7936" width="12.109375" style="5" customWidth="1"/>
    <col min="7937" max="8143" width="9.109375" style="5"/>
    <col min="8144" max="8144" width="4.109375" style="5" customWidth="1"/>
    <col min="8145" max="8145" width="26.6640625" style="5" customWidth="1"/>
    <col min="8146" max="8146" width="5.88671875" style="5" customWidth="1"/>
    <col min="8147" max="8147" width="8" style="5" customWidth="1"/>
    <col min="8148" max="8148" width="10.88671875" style="5" customWidth="1"/>
    <col min="8149" max="8149" width="6.5546875" style="5" customWidth="1"/>
    <col min="8150" max="8150" width="7.33203125" style="5" customWidth="1"/>
    <col min="8151" max="8151" width="5.88671875" style="5" customWidth="1"/>
    <col min="8152" max="8154" width="7.109375" style="5" customWidth="1"/>
    <col min="8155" max="8155" width="7.33203125" style="5" customWidth="1"/>
    <col min="8156" max="8156" width="7.6640625" style="5" customWidth="1"/>
    <col min="8157" max="8157" width="8.109375" style="5" customWidth="1"/>
    <col min="8158" max="8158" width="7.109375" style="5" customWidth="1"/>
    <col min="8159" max="8159" width="8.33203125" style="5" customWidth="1"/>
    <col min="8160" max="8160" width="7.6640625" style="5" customWidth="1"/>
    <col min="8161" max="8161" width="8.33203125" style="5" customWidth="1"/>
    <col min="8162" max="8162" width="7.33203125" style="5" customWidth="1"/>
    <col min="8163" max="8163" width="8.44140625" style="5" customWidth="1"/>
    <col min="8164" max="8164" width="6.88671875" style="5" customWidth="1"/>
    <col min="8165" max="8165" width="7.88671875" style="5" customWidth="1"/>
    <col min="8166" max="8166" width="5.44140625" style="5" customWidth="1"/>
    <col min="8167" max="8167" width="6.44140625" style="5" customWidth="1"/>
    <col min="8168" max="8168" width="6.109375" style="5" customWidth="1"/>
    <col min="8169" max="8169" width="8.44140625" style="5" customWidth="1"/>
    <col min="8170" max="8170" width="7" style="5" customWidth="1"/>
    <col min="8171" max="8171" width="7.109375" style="5" customWidth="1"/>
    <col min="8172" max="8172" width="6.33203125" style="5" customWidth="1"/>
    <col min="8173" max="8173" width="7.6640625" style="5" customWidth="1"/>
    <col min="8174" max="8174" width="6.33203125" style="5" customWidth="1"/>
    <col min="8175" max="8175" width="7.6640625" style="5" customWidth="1"/>
    <col min="8176" max="8176" width="5.6640625" style="5" customWidth="1"/>
    <col min="8177" max="8177" width="7.109375" style="5" customWidth="1"/>
    <col min="8178" max="8178" width="6.33203125" style="5" customWidth="1"/>
    <col min="8179" max="8179" width="7.5546875" style="5" customWidth="1"/>
    <col min="8180" max="8180" width="6.109375" style="5" customWidth="1"/>
    <col min="8181" max="8181" width="7.5546875" style="5" customWidth="1"/>
    <col min="8182" max="8182" width="5.44140625" style="5" customWidth="1"/>
    <col min="8183" max="8183" width="7" style="5" customWidth="1"/>
    <col min="8184" max="8184" width="7.6640625" style="5" customWidth="1"/>
    <col min="8185" max="8185" width="8" style="5" customWidth="1"/>
    <col min="8186" max="8186" width="7.44140625" style="5" customWidth="1"/>
    <col min="8187" max="8187" width="12.6640625" style="5" customWidth="1"/>
    <col min="8188" max="8188" width="7.44140625" style="5" customWidth="1"/>
    <col min="8189" max="8189" width="12.6640625" style="5" customWidth="1"/>
    <col min="8190" max="8190" width="11" style="5" customWidth="1"/>
    <col min="8191" max="8191" width="12.6640625" style="5" customWidth="1"/>
    <col min="8192" max="8192" width="12.109375" style="5" customWidth="1"/>
    <col min="8193" max="8399" width="9.109375" style="5"/>
    <col min="8400" max="8400" width="4.109375" style="5" customWidth="1"/>
    <col min="8401" max="8401" width="26.6640625" style="5" customWidth="1"/>
    <col min="8402" max="8402" width="5.88671875" style="5" customWidth="1"/>
    <col min="8403" max="8403" width="8" style="5" customWidth="1"/>
    <col min="8404" max="8404" width="10.88671875" style="5" customWidth="1"/>
    <col min="8405" max="8405" width="6.5546875" style="5" customWidth="1"/>
    <col min="8406" max="8406" width="7.33203125" style="5" customWidth="1"/>
    <col min="8407" max="8407" width="5.88671875" style="5" customWidth="1"/>
    <col min="8408" max="8410" width="7.109375" style="5" customWidth="1"/>
    <col min="8411" max="8411" width="7.33203125" style="5" customWidth="1"/>
    <col min="8412" max="8412" width="7.6640625" style="5" customWidth="1"/>
    <col min="8413" max="8413" width="8.109375" style="5" customWidth="1"/>
    <col min="8414" max="8414" width="7.109375" style="5" customWidth="1"/>
    <col min="8415" max="8415" width="8.33203125" style="5" customWidth="1"/>
    <col min="8416" max="8416" width="7.6640625" style="5" customWidth="1"/>
    <col min="8417" max="8417" width="8.33203125" style="5" customWidth="1"/>
    <col min="8418" max="8418" width="7.33203125" style="5" customWidth="1"/>
    <col min="8419" max="8419" width="8.44140625" style="5" customWidth="1"/>
    <col min="8420" max="8420" width="6.88671875" style="5" customWidth="1"/>
    <col min="8421" max="8421" width="7.88671875" style="5" customWidth="1"/>
    <col min="8422" max="8422" width="5.44140625" style="5" customWidth="1"/>
    <col min="8423" max="8423" width="6.44140625" style="5" customWidth="1"/>
    <col min="8424" max="8424" width="6.109375" style="5" customWidth="1"/>
    <col min="8425" max="8425" width="8.44140625" style="5" customWidth="1"/>
    <col min="8426" max="8426" width="7" style="5" customWidth="1"/>
    <col min="8427" max="8427" width="7.109375" style="5" customWidth="1"/>
    <col min="8428" max="8428" width="6.33203125" style="5" customWidth="1"/>
    <col min="8429" max="8429" width="7.6640625" style="5" customWidth="1"/>
    <col min="8430" max="8430" width="6.33203125" style="5" customWidth="1"/>
    <col min="8431" max="8431" width="7.6640625" style="5" customWidth="1"/>
    <col min="8432" max="8432" width="5.6640625" style="5" customWidth="1"/>
    <col min="8433" max="8433" width="7.109375" style="5" customWidth="1"/>
    <col min="8434" max="8434" width="6.33203125" style="5" customWidth="1"/>
    <col min="8435" max="8435" width="7.5546875" style="5" customWidth="1"/>
    <col min="8436" max="8436" width="6.109375" style="5" customWidth="1"/>
    <col min="8437" max="8437" width="7.5546875" style="5" customWidth="1"/>
    <col min="8438" max="8438" width="5.44140625" style="5" customWidth="1"/>
    <col min="8439" max="8439" width="7" style="5" customWidth="1"/>
    <col min="8440" max="8440" width="7.6640625" style="5" customWidth="1"/>
    <col min="8441" max="8441" width="8" style="5" customWidth="1"/>
    <col min="8442" max="8442" width="7.44140625" style="5" customWidth="1"/>
    <col min="8443" max="8443" width="12.6640625" style="5" customWidth="1"/>
    <col min="8444" max="8444" width="7.44140625" style="5" customWidth="1"/>
    <col min="8445" max="8445" width="12.6640625" style="5" customWidth="1"/>
    <col min="8446" max="8446" width="11" style="5" customWidth="1"/>
    <col min="8447" max="8447" width="12.6640625" style="5" customWidth="1"/>
    <col min="8448" max="8448" width="12.109375" style="5" customWidth="1"/>
    <col min="8449" max="8655" width="9.109375" style="5"/>
    <col min="8656" max="8656" width="4.109375" style="5" customWidth="1"/>
    <col min="8657" max="8657" width="26.6640625" style="5" customWidth="1"/>
    <col min="8658" max="8658" width="5.88671875" style="5" customWidth="1"/>
    <col min="8659" max="8659" width="8" style="5" customWidth="1"/>
    <col min="8660" max="8660" width="10.88671875" style="5" customWidth="1"/>
    <col min="8661" max="8661" width="6.5546875" style="5" customWidth="1"/>
    <col min="8662" max="8662" width="7.33203125" style="5" customWidth="1"/>
    <col min="8663" max="8663" width="5.88671875" style="5" customWidth="1"/>
    <col min="8664" max="8666" width="7.109375" style="5" customWidth="1"/>
    <col min="8667" max="8667" width="7.33203125" style="5" customWidth="1"/>
    <col min="8668" max="8668" width="7.6640625" style="5" customWidth="1"/>
    <col min="8669" max="8669" width="8.109375" style="5" customWidth="1"/>
    <col min="8670" max="8670" width="7.109375" style="5" customWidth="1"/>
    <col min="8671" max="8671" width="8.33203125" style="5" customWidth="1"/>
    <col min="8672" max="8672" width="7.6640625" style="5" customWidth="1"/>
    <col min="8673" max="8673" width="8.33203125" style="5" customWidth="1"/>
    <col min="8674" max="8674" width="7.33203125" style="5" customWidth="1"/>
    <col min="8675" max="8675" width="8.44140625" style="5" customWidth="1"/>
    <col min="8676" max="8676" width="6.88671875" style="5" customWidth="1"/>
    <col min="8677" max="8677" width="7.88671875" style="5" customWidth="1"/>
    <col min="8678" max="8678" width="5.44140625" style="5" customWidth="1"/>
    <col min="8679" max="8679" width="6.44140625" style="5" customWidth="1"/>
    <col min="8680" max="8680" width="6.109375" style="5" customWidth="1"/>
    <col min="8681" max="8681" width="8.44140625" style="5" customWidth="1"/>
    <col min="8682" max="8682" width="7" style="5" customWidth="1"/>
    <col min="8683" max="8683" width="7.109375" style="5" customWidth="1"/>
    <col min="8684" max="8684" width="6.33203125" style="5" customWidth="1"/>
    <col min="8685" max="8685" width="7.6640625" style="5" customWidth="1"/>
    <col min="8686" max="8686" width="6.33203125" style="5" customWidth="1"/>
    <col min="8687" max="8687" width="7.6640625" style="5" customWidth="1"/>
    <col min="8688" max="8688" width="5.6640625" style="5" customWidth="1"/>
    <col min="8689" max="8689" width="7.109375" style="5" customWidth="1"/>
    <col min="8690" max="8690" width="6.33203125" style="5" customWidth="1"/>
    <col min="8691" max="8691" width="7.5546875" style="5" customWidth="1"/>
    <col min="8692" max="8692" width="6.109375" style="5" customWidth="1"/>
    <col min="8693" max="8693" width="7.5546875" style="5" customWidth="1"/>
    <col min="8694" max="8694" width="5.44140625" style="5" customWidth="1"/>
    <col min="8695" max="8695" width="7" style="5" customWidth="1"/>
    <col min="8696" max="8696" width="7.6640625" style="5" customWidth="1"/>
    <col min="8697" max="8697" width="8" style="5" customWidth="1"/>
    <col min="8698" max="8698" width="7.44140625" style="5" customWidth="1"/>
    <col min="8699" max="8699" width="12.6640625" style="5" customWidth="1"/>
    <col min="8700" max="8700" width="7.44140625" style="5" customWidth="1"/>
    <col min="8701" max="8701" width="12.6640625" style="5" customWidth="1"/>
    <col min="8702" max="8702" width="11" style="5" customWidth="1"/>
    <col min="8703" max="8703" width="12.6640625" style="5" customWidth="1"/>
    <col min="8704" max="8704" width="12.109375" style="5" customWidth="1"/>
    <col min="8705" max="8911" width="9.109375" style="5"/>
    <col min="8912" max="8912" width="4.109375" style="5" customWidth="1"/>
    <col min="8913" max="8913" width="26.6640625" style="5" customWidth="1"/>
    <col min="8914" max="8914" width="5.88671875" style="5" customWidth="1"/>
    <col min="8915" max="8915" width="8" style="5" customWidth="1"/>
    <col min="8916" max="8916" width="10.88671875" style="5" customWidth="1"/>
    <col min="8917" max="8917" width="6.5546875" style="5" customWidth="1"/>
    <col min="8918" max="8918" width="7.33203125" style="5" customWidth="1"/>
    <col min="8919" max="8919" width="5.88671875" style="5" customWidth="1"/>
    <col min="8920" max="8922" width="7.109375" style="5" customWidth="1"/>
    <col min="8923" max="8923" width="7.33203125" style="5" customWidth="1"/>
    <col min="8924" max="8924" width="7.6640625" style="5" customWidth="1"/>
    <col min="8925" max="8925" width="8.109375" style="5" customWidth="1"/>
    <col min="8926" max="8926" width="7.109375" style="5" customWidth="1"/>
    <col min="8927" max="8927" width="8.33203125" style="5" customWidth="1"/>
    <col min="8928" max="8928" width="7.6640625" style="5" customWidth="1"/>
    <col min="8929" max="8929" width="8.33203125" style="5" customWidth="1"/>
    <col min="8930" max="8930" width="7.33203125" style="5" customWidth="1"/>
    <col min="8931" max="8931" width="8.44140625" style="5" customWidth="1"/>
    <col min="8932" max="8932" width="6.88671875" style="5" customWidth="1"/>
    <col min="8933" max="8933" width="7.88671875" style="5" customWidth="1"/>
    <col min="8934" max="8934" width="5.44140625" style="5" customWidth="1"/>
    <col min="8935" max="8935" width="6.44140625" style="5" customWidth="1"/>
    <col min="8936" max="8936" width="6.109375" style="5" customWidth="1"/>
    <col min="8937" max="8937" width="8.44140625" style="5" customWidth="1"/>
    <col min="8938" max="8938" width="7" style="5" customWidth="1"/>
    <col min="8939" max="8939" width="7.109375" style="5" customWidth="1"/>
    <col min="8940" max="8940" width="6.33203125" style="5" customWidth="1"/>
    <col min="8941" max="8941" width="7.6640625" style="5" customWidth="1"/>
    <col min="8942" max="8942" width="6.33203125" style="5" customWidth="1"/>
    <col min="8943" max="8943" width="7.6640625" style="5" customWidth="1"/>
    <col min="8944" max="8944" width="5.6640625" style="5" customWidth="1"/>
    <col min="8945" max="8945" width="7.109375" style="5" customWidth="1"/>
    <col min="8946" max="8946" width="6.33203125" style="5" customWidth="1"/>
    <col min="8947" max="8947" width="7.5546875" style="5" customWidth="1"/>
    <col min="8948" max="8948" width="6.109375" style="5" customWidth="1"/>
    <col min="8949" max="8949" width="7.5546875" style="5" customWidth="1"/>
    <col min="8950" max="8950" width="5.44140625" style="5" customWidth="1"/>
    <col min="8951" max="8951" width="7" style="5" customWidth="1"/>
    <col min="8952" max="8952" width="7.6640625" style="5" customWidth="1"/>
    <col min="8953" max="8953" width="8" style="5" customWidth="1"/>
    <col min="8954" max="8954" width="7.44140625" style="5" customWidth="1"/>
    <col min="8955" max="8955" width="12.6640625" style="5" customWidth="1"/>
    <col min="8956" max="8956" width="7.44140625" style="5" customWidth="1"/>
    <col min="8957" max="8957" width="12.6640625" style="5" customWidth="1"/>
    <col min="8958" max="8958" width="11" style="5" customWidth="1"/>
    <col min="8959" max="8959" width="12.6640625" style="5" customWidth="1"/>
    <col min="8960" max="8960" width="12.109375" style="5" customWidth="1"/>
    <col min="8961" max="9167" width="9.109375" style="5"/>
    <col min="9168" max="9168" width="4.109375" style="5" customWidth="1"/>
    <col min="9169" max="9169" width="26.6640625" style="5" customWidth="1"/>
    <col min="9170" max="9170" width="5.88671875" style="5" customWidth="1"/>
    <col min="9171" max="9171" width="8" style="5" customWidth="1"/>
    <col min="9172" max="9172" width="10.88671875" style="5" customWidth="1"/>
    <col min="9173" max="9173" width="6.5546875" style="5" customWidth="1"/>
    <col min="9174" max="9174" width="7.33203125" style="5" customWidth="1"/>
    <col min="9175" max="9175" width="5.88671875" style="5" customWidth="1"/>
    <col min="9176" max="9178" width="7.109375" style="5" customWidth="1"/>
    <col min="9179" max="9179" width="7.33203125" style="5" customWidth="1"/>
    <col min="9180" max="9180" width="7.6640625" style="5" customWidth="1"/>
    <col min="9181" max="9181" width="8.109375" style="5" customWidth="1"/>
    <col min="9182" max="9182" width="7.109375" style="5" customWidth="1"/>
    <col min="9183" max="9183" width="8.33203125" style="5" customWidth="1"/>
    <col min="9184" max="9184" width="7.6640625" style="5" customWidth="1"/>
    <col min="9185" max="9185" width="8.33203125" style="5" customWidth="1"/>
    <col min="9186" max="9186" width="7.33203125" style="5" customWidth="1"/>
    <col min="9187" max="9187" width="8.44140625" style="5" customWidth="1"/>
    <col min="9188" max="9188" width="6.88671875" style="5" customWidth="1"/>
    <col min="9189" max="9189" width="7.88671875" style="5" customWidth="1"/>
    <col min="9190" max="9190" width="5.44140625" style="5" customWidth="1"/>
    <col min="9191" max="9191" width="6.44140625" style="5" customWidth="1"/>
    <col min="9192" max="9192" width="6.109375" style="5" customWidth="1"/>
    <col min="9193" max="9193" width="8.44140625" style="5" customWidth="1"/>
    <col min="9194" max="9194" width="7" style="5" customWidth="1"/>
    <col min="9195" max="9195" width="7.109375" style="5" customWidth="1"/>
    <col min="9196" max="9196" width="6.33203125" style="5" customWidth="1"/>
    <col min="9197" max="9197" width="7.6640625" style="5" customWidth="1"/>
    <col min="9198" max="9198" width="6.33203125" style="5" customWidth="1"/>
    <col min="9199" max="9199" width="7.6640625" style="5" customWidth="1"/>
    <col min="9200" max="9200" width="5.6640625" style="5" customWidth="1"/>
    <col min="9201" max="9201" width="7.109375" style="5" customWidth="1"/>
    <col min="9202" max="9202" width="6.33203125" style="5" customWidth="1"/>
    <col min="9203" max="9203" width="7.5546875" style="5" customWidth="1"/>
    <col min="9204" max="9204" width="6.109375" style="5" customWidth="1"/>
    <col min="9205" max="9205" width="7.5546875" style="5" customWidth="1"/>
    <col min="9206" max="9206" width="5.44140625" style="5" customWidth="1"/>
    <col min="9207" max="9207" width="7" style="5" customWidth="1"/>
    <col min="9208" max="9208" width="7.6640625" style="5" customWidth="1"/>
    <col min="9209" max="9209" width="8" style="5" customWidth="1"/>
    <col min="9210" max="9210" width="7.44140625" style="5" customWidth="1"/>
    <col min="9211" max="9211" width="12.6640625" style="5" customWidth="1"/>
    <col min="9212" max="9212" width="7.44140625" style="5" customWidth="1"/>
    <col min="9213" max="9213" width="12.6640625" style="5" customWidth="1"/>
    <col min="9214" max="9214" width="11" style="5" customWidth="1"/>
    <col min="9215" max="9215" width="12.6640625" style="5" customWidth="1"/>
    <col min="9216" max="9216" width="12.109375" style="5" customWidth="1"/>
    <col min="9217" max="9423" width="9.109375" style="5"/>
    <col min="9424" max="9424" width="4.109375" style="5" customWidth="1"/>
    <col min="9425" max="9425" width="26.6640625" style="5" customWidth="1"/>
    <col min="9426" max="9426" width="5.88671875" style="5" customWidth="1"/>
    <col min="9427" max="9427" width="8" style="5" customWidth="1"/>
    <col min="9428" max="9428" width="10.88671875" style="5" customWidth="1"/>
    <col min="9429" max="9429" width="6.5546875" style="5" customWidth="1"/>
    <col min="9430" max="9430" width="7.33203125" style="5" customWidth="1"/>
    <col min="9431" max="9431" width="5.88671875" style="5" customWidth="1"/>
    <col min="9432" max="9434" width="7.109375" style="5" customWidth="1"/>
    <col min="9435" max="9435" width="7.33203125" style="5" customWidth="1"/>
    <col min="9436" max="9436" width="7.6640625" style="5" customWidth="1"/>
    <col min="9437" max="9437" width="8.109375" style="5" customWidth="1"/>
    <col min="9438" max="9438" width="7.109375" style="5" customWidth="1"/>
    <col min="9439" max="9439" width="8.33203125" style="5" customWidth="1"/>
    <col min="9440" max="9440" width="7.6640625" style="5" customWidth="1"/>
    <col min="9441" max="9441" width="8.33203125" style="5" customWidth="1"/>
    <col min="9442" max="9442" width="7.33203125" style="5" customWidth="1"/>
    <col min="9443" max="9443" width="8.44140625" style="5" customWidth="1"/>
    <col min="9444" max="9444" width="6.88671875" style="5" customWidth="1"/>
    <col min="9445" max="9445" width="7.88671875" style="5" customWidth="1"/>
    <col min="9446" max="9446" width="5.44140625" style="5" customWidth="1"/>
    <col min="9447" max="9447" width="6.44140625" style="5" customWidth="1"/>
    <col min="9448" max="9448" width="6.109375" style="5" customWidth="1"/>
    <col min="9449" max="9449" width="8.44140625" style="5" customWidth="1"/>
    <col min="9450" max="9450" width="7" style="5" customWidth="1"/>
    <col min="9451" max="9451" width="7.109375" style="5" customWidth="1"/>
    <col min="9452" max="9452" width="6.33203125" style="5" customWidth="1"/>
    <col min="9453" max="9453" width="7.6640625" style="5" customWidth="1"/>
    <col min="9454" max="9454" width="6.33203125" style="5" customWidth="1"/>
    <col min="9455" max="9455" width="7.6640625" style="5" customWidth="1"/>
    <col min="9456" max="9456" width="5.6640625" style="5" customWidth="1"/>
    <col min="9457" max="9457" width="7.109375" style="5" customWidth="1"/>
    <col min="9458" max="9458" width="6.33203125" style="5" customWidth="1"/>
    <col min="9459" max="9459" width="7.5546875" style="5" customWidth="1"/>
    <col min="9460" max="9460" width="6.109375" style="5" customWidth="1"/>
    <col min="9461" max="9461" width="7.5546875" style="5" customWidth="1"/>
    <col min="9462" max="9462" width="5.44140625" style="5" customWidth="1"/>
    <col min="9463" max="9463" width="7" style="5" customWidth="1"/>
    <col min="9464" max="9464" width="7.6640625" style="5" customWidth="1"/>
    <col min="9465" max="9465" width="8" style="5" customWidth="1"/>
    <col min="9466" max="9466" width="7.44140625" style="5" customWidth="1"/>
    <col min="9467" max="9467" width="12.6640625" style="5" customWidth="1"/>
    <col min="9468" max="9468" width="7.44140625" style="5" customWidth="1"/>
    <col min="9469" max="9469" width="12.6640625" style="5" customWidth="1"/>
    <col min="9470" max="9470" width="11" style="5" customWidth="1"/>
    <col min="9471" max="9471" width="12.6640625" style="5" customWidth="1"/>
    <col min="9472" max="9472" width="12.109375" style="5" customWidth="1"/>
    <col min="9473" max="9679" width="9.109375" style="5"/>
    <col min="9680" max="9680" width="4.109375" style="5" customWidth="1"/>
    <col min="9681" max="9681" width="26.6640625" style="5" customWidth="1"/>
    <col min="9682" max="9682" width="5.88671875" style="5" customWidth="1"/>
    <col min="9683" max="9683" width="8" style="5" customWidth="1"/>
    <col min="9684" max="9684" width="10.88671875" style="5" customWidth="1"/>
    <col min="9685" max="9685" width="6.5546875" style="5" customWidth="1"/>
    <col min="9686" max="9686" width="7.33203125" style="5" customWidth="1"/>
    <col min="9687" max="9687" width="5.88671875" style="5" customWidth="1"/>
    <col min="9688" max="9690" width="7.109375" style="5" customWidth="1"/>
    <col min="9691" max="9691" width="7.33203125" style="5" customWidth="1"/>
    <col min="9692" max="9692" width="7.6640625" style="5" customWidth="1"/>
    <col min="9693" max="9693" width="8.109375" style="5" customWidth="1"/>
    <col min="9694" max="9694" width="7.109375" style="5" customWidth="1"/>
    <col min="9695" max="9695" width="8.33203125" style="5" customWidth="1"/>
    <col min="9696" max="9696" width="7.6640625" style="5" customWidth="1"/>
    <col min="9697" max="9697" width="8.33203125" style="5" customWidth="1"/>
    <col min="9698" max="9698" width="7.33203125" style="5" customWidth="1"/>
    <col min="9699" max="9699" width="8.44140625" style="5" customWidth="1"/>
    <col min="9700" max="9700" width="6.88671875" style="5" customWidth="1"/>
    <col min="9701" max="9701" width="7.88671875" style="5" customWidth="1"/>
    <col min="9702" max="9702" width="5.44140625" style="5" customWidth="1"/>
    <col min="9703" max="9703" width="6.44140625" style="5" customWidth="1"/>
    <col min="9704" max="9704" width="6.109375" style="5" customWidth="1"/>
    <col min="9705" max="9705" width="8.44140625" style="5" customWidth="1"/>
    <col min="9706" max="9706" width="7" style="5" customWidth="1"/>
    <col min="9707" max="9707" width="7.109375" style="5" customWidth="1"/>
    <col min="9708" max="9708" width="6.33203125" style="5" customWidth="1"/>
    <col min="9709" max="9709" width="7.6640625" style="5" customWidth="1"/>
    <col min="9710" max="9710" width="6.33203125" style="5" customWidth="1"/>
    <col min="9711" max="9711" width="7.6640625" style="5" customWidth="1"/>
    <col min="9712" max="9712" width="5.6640625" style="5" customWidth="1"/>
    <col min="9713" max="9713" width="7.109375" style="5" customWidth="1"/>
    <col min="9714" max="9714" width="6.33203125" style="5" customWidth="1"/>
    <col min="9715" max="9715" width="7.5546875" style="5" customWidth="1"/>
    <col min="9716" max="9716" width="6.109375" style="5" customWidth="1"/>
    <col min="9717" max="9717" width="7.5546875" style="5" customWidth="1"/>
    <col min="9718" max="9718" width="5.44140625" style="5" customWidth="1"/>
    <col min="9719" max="9719" width="7" style="5" customWidth="1"/>
    <col min="9720" max="9720" width="7.6640625" style="5" customWidth="1"/>
    <col min="9721" max="9721" width="8" style="5" customWidth="1"/>
    <col min="9722" max="9722" width="7.44140625" style="5" customWidth="1"/>
    <col min="9723" max="9723" width="12.6640625" style="5" customWidth="1"/>
    <col min="9724" max="9724" width="7.44140625" style="5" customWidth="1"/>
    <col min="9725" max="9725" width="12.6640625" style="5" customWidth="1"/>
    <col min="9726" max="9726" width="11" style="5" customWidth="1"/>
    <col min="9727" max="9727" width="12.6640625" style="5" customWidth="1"/>
    <col min="9728" max="9728" width="12.109375" style="5" customWidth="1"/>
    <col min="9729" max="9935" width="9.109375" style="5"/>
    <col min="9936" max="9936" width="4.109375" style="5" customWidth="1"/>
    <col min="9937" max="9937" width="26.6640625" style="5" customWidth="1"/>
    <col min="9938" max="9938" width="5.88671875" style="5" customWidth="1"/>
    <col min="9939" max="9939" width="8" style="5" customWidth="1"/>
    <col min="9940" max="9940" width="10.88671875" style="5" customWidth="1"/>
    <col min="9941" max="9941" width="6.5546875" style="5" customWidth="1"/>
    <col min="9942" max="9942" width="7.33203125" style="5" customWidth="1"/>
    <col min="9943" max="9943" width="5.88671875" style="5" customWidth="1"/>
    <col min="9944" max="9946" width="7.109375" style="5" customWidth="1"/>
    <col min="9947" max="9947" width="7.33203125" style="5" customWidth="1"/>
    <col min="9948" max="9948" width="7.6640625" style="5" customWidth="1"/>
    <col min="9949" max="9949" width="8.109375" style="5" customWidth="1"/>
    <col min="9950" max="9950" width="7.109375" style="5" customWidth="1"/>
    <col min="9951" max="9951" width="8.33203125" style="5" customWidth="1"/>
    <col min="9952" max="9952" width="7.6640625" style="5" customWidth="1"/>
    <col min="9953" max="9953" width="8.33203125" style="5" customWidth="1"/>
    <col min="9954" max="9954" width="7.33203125" style="5" customWidth="1"/>
    <col min="9955" max="9955" width="8.44140625" style="5" customWidth="1"/>
    <col min="9956" max="9956" width="6.88671875" style="5" customWidth="1"/>
    <col min="9957" max="9957" width="7.88671875" style="5" customWidth="1"/>
    <col min="9958" max="9958" width="5.44140625" style="5" customWidth="1"/>
    <col min="9959" max="9959" width="6.44140625" style="5" customWidth="1"/>
    <col min="9960" max="9960" width="6.109375" style="5" customWidth="1"/>
    <col min="9961" max="9961" width="8.44140625" style="5" customWidth="1"/>
    <col min="9962" max="9962" width="7" style="5" customWidth="1"/>
    <col min="9963" max="9963" width="7.109375" style="5" customWidth="1"/>
    <col min="9964" max="9964" width="6.33203125" style="5" customWidth="1"/>
    <col min="9965" max="9965" width="7.6640625" style="5" customWidth="1"/>
    <col min="9966" max="9966" width="6.33203125" style="5" customWidth="1"/>
    <col min="9967" max="9967" width="7.6640625" style="5" customWidth="1"/>
    <col min="9968" max="9968" width="5.6640625" style="5" customWidth="1"/>
    <col min="9969" max="9969" width="7.109375" style="5" customWidth="1"/>
    <col min="9970" max="9970" width="6.33203125" style="5" customWidth="1"/>
    <col min="9971" max="9971" width="7.5546875" style="5" customWidth="1"/>
    <col min="9972" max="9972" width="6.109375" style="5" customWidth="1"/>
    <col min="9973" max="9973" width="7.5546875" style="5" customWidth="1"/>
    <col min="9974" max="9974" width="5.44140625" style="5" customWidth="1"/>
    <col min="9975" max="9975" width="7" style="5" customWidth="1"/>
    <col min="9976" max="9976" width="7.6640625" style="5" customWidth="1"/>
    <col min="9977" max="9977" width="8" style="5" customWidth="1"/>
    <col min="9978" max="9978" width="7.44140625" style="5" customWidth="1"/>
    <col min="9979" max="9979" width="12.6640625" style="5" customWidth="1"/>
    <col min="9980" max="9980" width="7.44140625" style="5" customWidth="1"/>
    <col min="9981" max="9981" width="12.6640625" style="5" customWidth="1"/>
    <col min="9982" max="9982" width="11" style="5" customWidth="1"/>
    <col min="9983" max="9983" width="12.6640625" style="5" customWidth="1"/>
    <col min="9984" max="9984" width="12.109375" style="5" customWidth="1"/>
    <col min="9985" max="10191" width="9.109375" style="5"/>
    <col min="10192" max="10192" width="4.109375" style="5" customWidth="1"/>
    <col min="10193" max="10193" width="26.6640625" style="5" customWidth="1"/>
    <col min="10194" max="10194" width="5.88671875" style="5" customWidth="1"/>
    <col min="10195" max="10195" width="8" style="5" customWidth="1"/>
    <col min="10196" max="10196" width="10.88671875" style="5" customWidth="1"/>
    <col min="10197" max="10197" width="6.5546875" style="5" customWidth="1"/>
    <col min="10198" max="10198" width="7.33203125" style="5" customWidth="1"/>
    <col min="10199" max="10199" width="5.88671875" style="5" customWidth="1"/>
    <col min="10200" max="10202" width="7.109375" style="5" customWidth="1"/>
    <col min="10203" max="10203" width="7.33203125" style="5" customWidth="1"/>
    <col min="10204" max="10204" width="7.6640625" style="5" customWidth="1"/>
    <col min="10205" max="10205" width="8.109375" style="5" customWidth="1"/>
    <col min="10206" max="10206" width="7.109375" style="5" customWidth="1"/>
    <col min="10207" max="10207" width="8.33203125" style="5" customWidth="1"/>
    <col min="10208" max="10208" width="7.6640625" style="5" customWidth="1"/>
    <col min="10209" max="10209" width="8.33203125" style="5" customWidth="1"/>
    <col min="10210" max="10210" width="7.33203125" style="5" customWidth="1"/>
    <col min="10211" max="10211" width="8.44140625" style="5" customWidth="1"/>
    <col min="10212" max="10212" width="6.88671875" style="5" customWidth="1"/>
    <col min="10213" max="10213" width="7.88671875" style="5" customWidth="1"/>
    <col min="10214" max="10214" width="5.44140625" style="5" customWidth="1"/>
    <col min="10215" max="10215" width="6.44140625" style="5" customWidth="1"/>
    <col min="10216" max="10216" width="6.109375" style="5" customWidth="1"/>
    <col min="10217" max="10217" width="8.44140625" style="5" customWidth="1"/>
    <col min="10218" max="10218" width="7" style="5" customWidth="1"/>
    <col min="10219" max="10219" width="7.109375" style="5" customWidth="1"/>
    <col min="10220" max="10220" width="6.33203125" style="5" customWidth="1"/>
    <col min="10221" max="10221" width="7.6640625" style="5" customWidth="1"/>
    <col min="10222" max="10222" width="6.33203125" style="5" customWidth="1"/>
    <col min="10223" max="10223" width="7.6640625" style="5" customWidth="1"/>
    <col min="10224" max="10224" width="5.6640625" style="5" customWidth="1"/>
    <col min="10225" max="10225" width="7.109375" style="5" customWidth="1"/>
    <col min="10226" max="10226" width="6.33203125" style="5" customWidth="1"/>
    <col min="10227" max="10227" width="7.5546875" style="5" customWidth="1"/>
    <col min="10228" max="10228" width="6.109375" style="5" customWidth="1"/>
    <col min="10229" max="10229" width="7.5546875" style="5" customWidth="1"/>
    <col min="10230" max="10230" width="5.44140625" style="5" customWidth="1"/>
    <col min="10231" max="10231" width="7" style="5" customWidth="1"/>
    <col min="10232" max="10232" width="7.6640625" style="5" customWidth="1"/>
    <col min="10233" max="10233" width="8" style="5" customWidth="1"/>
    <col min="10234" max="10234" width="7.44140625" style="5" customWidth="1"/>
    <col min="10235" max="10235" width="12.6640625" style="5" customWidth="1"/>
    <col min="10236" max="10236" width="7.44140625" style="5" customWidth="1"/>
    <col min="10237" max="10237" width="12.6640625" style="5" customWidth="1"/>
    <col min="10238" max="10238" width="11" style="5" customWidth="1"/>
    <col min="10239" max="10239" width="12.6640625" style="5" customWidth="1"/>
    <col min="10240" max="10240" width="12.109375" style="5" customWidth="1"/>
    <col min="10241" max="10447" width="9.109375" style="5"/>
    <col min="10448" max="10448" width="4.109375" style="5" customWidth="1"/>
    <col min="10449" max="10449" width="26.6640625" style="5" customWidth="1"/>
    <col min="10450" max="10450" width="5.88671875" style="5" customWidth="1"/>
    <col min="10451" max="10451" width="8" style="5" customWidth="1"/>
    <col min="10452" max="10452" width="10.88671875" style="5" customWidth="1"/>
    <col min="10453" max="10453" width="6.5546875" style="5" customWidth="1"/>
    <col min="10454" max="10454" width="7.33203125" style="5" customWidth="1"/>
    <col min="10455" max="10455" width="5.88671875" style="5" customWidth="1"/>
    <col min="10456" max="10458" width="7.109375" style="5" customWidth="1"/>
    <col min="10459" max="10459" width="7.33203125" style="5" customWidth="1"/>
    <col min="10460" max="10460" width="7.6640625" style="5" customWidth="1"/>
    <col min="10461" max="10461" width="8.109375" style="5" customWidth="1"/>
    <col min="10462" max="10462" width="7.109375" style="5" customWidth="1"/>
    <col min="10463" max="10463" width="8.33203125" style="5" customWidth="1"/>
    <col min="10464" max="10464" width="7.6640625" style="5" customWidth="1"/>
    <col min="10465" max="10465" width="8.33203125" style="5" customWidth="1"/>
    <col min="10466" max="10466" width="7.33203125" style="5" customWidth="1"/>
    <col min="10467" max="10467" width="8.44140625" style="5" customWidth="1"/>
    <col min="10468" max="10468" width="6.88671875" style="5" customWidth="1"/>
    <col min="10469" max="10469" width="7.88671875" style="5" customWidth="1"/>
    <col min="10470" max="10470" width="5.44140625" style="5" customWidth="1"/>
    <col min="10471" max="10471" width="6.44140625" style="5" customWidth="1"/>
    <col min="10472" max="10472" width="6.109375" style="5" customWidth="1"/>
    <col min="10473" max="10473" width="8.44140625" style="5" customWidth="1"/>
    <col min="10474" max="10474" width="7" style="5" customWidth="1"/>
    <col min="10475" max="10475" width="7.109375" style="5" customWidth="1"/>
    <col min="10476" max="10476" width="6.33203125" style="5" customWidth="1"/>
    <col min="10477" max="10477" width="7.6640625" style="5" customWidth="1"/>
    <col min="10478" max="10478" width="6.33203125" style="5" customWidth="1"/>
    <col min="10479" max="10479" width="7.6640625" style="5" customWidth="1"/>
    <col min="10480" max="10480" width="5.6640625" style="5" customWidth="1"/>
    <col min="10481" max="10481" width="7.109375" style="5" customWidth="1"/>
    <col min="10482" max="10482" width="6.33203125" style="5" customWidth="1"/>
    <col min="10483" max="10483" width="7.5546875" style="5" customWidth="1"/>
    <col min="10484" max="10484" width="6.109375" style="5" customWidth="1"/>
    <col min="10485" max="10485" width="7.5546875" style="5" customWidth="1"/>
    <col min="10486" max="10486" width="5.44140625" style="5" customWidth="1"/>
    <col min="10487" max="10487" width="7" style="5" customWidth="1"/>
    <col min="10488" max="10488" width="7.6640625" style="5" customWidth="1"/>
    <col min="10489" max="10489" width="8" style="5" customWidth="1"/>
    <col min="10490" max="10490" width="7.44140625" style="5" customWidth="1"/>
    <col min="10491" max="10491" width="12.6640625" style="5" customWidth="1"/>
    <col min="10492" max="10492" width="7.44140625" style="5" customWidth="1"/>
    <col min="10493" max="10493" width="12.6640625" style="5" customWidth="1"/>
    <col min="10494" max="10494" width="11" style="5" customWidth="1"/>
    <col min="10495" max="10495" width="12.6640625" style="5" customWidth="1"/>
    <col min="10496" max="10496" width="12.109375" style="5" customWidth="1"/>
    <col min="10497" max="10703" width="9.109375" style="5"/>
    <col min="10704" max="10704" width="4.109375" style="5" customWidth="1"/>
    <col min="10705" max="10705" width="26.6640625" style="5" customWidth="1"/>
    <col min="10706" max="10706" width="5.88671875" style="5" customWidth="1"/>
    <col min="10707" max="10707" width="8" style="5" customWidth="1"/>
    <col min="10708" max="10708" width="10.88671875" style="5" customWidth="1"/>
    <col min="10709" max="10709" width="6.5546875" style="5" customWidth="1"/>
    <col min="10710" max="10710" width="7.33203125" style="5" customWidth="1"/>
    <col min="10711" max="10711" width="5.88671875" style="5" customWidth="1"/>
    <col min="10712" max="10714" width="7.109375" style="5" customWidth="1"/>
    <col min="10715" max="10715" width="7.33203125" style="5" customWidth="1"/>
    <col min="10716" max="10716" width="7.6640625" style="5" customWidth="1"/>
    <col min="10717" max="10717" width="8.109375" style="5" customWidth="1"/>
    <col min="10718" max="10718" width="7.109375" style="5" customWidth="1"/>
    <col min="10719" max="10719" width="8.33203125" style="5" customWidth="1"/>
    <col min="10720" max="10720" width="7.6640625" style="5" customWidth="1"/>
    <col min="10721" max="10721" width="8.33203125" style="5" customWidth="1"/>
    <col min="10722" max="10722" width="7.33203125" style="5" customWidth="1"/>
    <col min="10723" max="10723" width="8.44140625" style="5" customWidth="1"/>
    <col min="10724" max="10724" width="6.88671875" style="5" customWidth="1"/>
    <col min="10725" max="10725" width="7.88671875" style="5" customWidth="1"/>
    <col min="10726" max="10726" width="5.44140625" style="5" customWidth="1"/>
    <col min="10727" max="10727" width="6.44140625" style="5" customWidth="1"/>
    <col min="10728" max="10728" width="6.109375" style="5" customWidth="1"/>
    <col min="10729" max="10729" width="8.44140625" style="5" customWidth="1"/>
    <col min="10730" max="10730" width="7" style="5" customWidth="1"/>
    <col min="10731" max="10731" width="7.109375" style="5" customWidth="1"/>
    <col min="10732" max="10732" width="6.33203125" style="5" customWidth="1"/>
    <col min="10733" max="10733" width="7.6640625" style="5" customWidth="1"/>
    <col min="10734" max="10734" width="6.33203125" style="5" customWidth="1"/>
    <col min="10735" max="10735" width="7.6640625" style="5" customWidth="1"/>
    <col min="10736" max="10736" width="5.6640625" style="5" customWidth="1"/>
    <col min="10737" max="10737" width="7.109375" style="5" customWidth="1"/>
    <col min="10738" max="10738" width="6.33203125" style="5" customWidth="1"/>
    <col min="10739" max="10739" width="7.5546875" style="5" customWidth="1"/>
    <col min="10740" max="10740" width="6.109375" style="5" customWidth="1"/>
    <col min="10741" max="10741" width="7.5546875" style="5" customWidth="1"/>
    <col min="10742" max="10742" width="5.44140625" style="5" customWidth="1"/>
    <col min="10743" max="10743" width="7" style="5" customWidth="1"/>
    <col min="10744" max="10744" width="7.6640625" style="5" customWidth="1"/>
    <col min="10745" max="10745" width="8" style="5" customWidth="1"/>
    <col min="10746" max="10746" width="7.44140625" style="5" customWidth="1"/>
    <col min="10747" max="10747" width="12.6640625" style="5" customWidth="1"/>
    <col min="10748" max="10748" width="7.44140625" style="5" customWidth="1"/>
    <col min="10749" max="10749" width="12.6640625" style="5" customWidth="1"/>
    <col min="10750" max="10750" width="11" style="5" customWidth="1"/>
    <col min="10751" max="10751" width="12.6640625" style="5" customWidth="1"/>
    <col min="10752" max="10752" width="12.109375" style="5" customWidth="1"/>
    <col min="10753" max="10959" width="9.109375" style="5"/>
    <col min="10960" max="10960" width="4.109375" style="5" customWidth="1"/>
    <col min="10961" max="10961" width="26.6640625" style="5" customWidth="1"/>
    <col min="10962" max="10962" width="5.88671875" style="5" customWidth="1"/>
    <col min="10963" max="10963" width="8" style="5" customWidth="1"/>
    <col min="10964" max="10964" width="10.88671875" style="5" customWidth="1"/>
    <col min="10965" max="10965" width="6.5546875" style="5" customWidth="1"/>
    <col min="10966" max="10966" width="7.33203125" style="5" customWidth="1"/>
    <col min="10967" max="10967" width="5.88671875" style="5" customWidth="1"/>
    <col min="10968" max="10970" width="7.109375" style="5" customWidth="1"/>
    <col min="10971" max="10971" width="7.33203125" style="5" customWidth="1"/>
    <col min="10972" max="10972" width="7.6640625" style="5" customWidth="1"/>
    <col min="10973" max="10973" width="8.109375" style="5" customWidth="1"/>
    <col min="10974" max="10974" width="7.109375" style="5" customWidth="1"/>
    <col min="10975" max="10975" width="8.33203125" style="5" customWidth="1"/>
    <col min="10976" max="10976" width="7.6640625" style="5" customWidth="1"/>
    <col min="10977" max="10977" width="8.33203125" style="5" customWidth="1"/>
    <col min="10978" max="10978" width="7.33203125" style="5" customWidth="1"/>
    <col min="10979" max="10979" width="8.44140625" style="5" customWidth="1"/>
    <col min="10980" max="10980" width="6.88671875" style="5" customWidth="1"/>
    <col min="10981" max="10981" width="7.88671875" style="5" customWidth="1"/>
    <col min="10982" max="10982" width="5.44140625" style="5" customWidth="1"/>
    <col min="10983" max="10983" width="6.44140625" style="5" customWidth="1"/>
    <col min="10984" max="10984" width="6.109375" style="5" customWidth="1"/>
    <col min="10985" max="10985" width="8.44140625" style="5" customWidth="1"/>
    <col min="10986" max="10986" width="7" style="5" customWidth="1"/>
    <col min="10987" max="10987" width="7.109375" style="5" customWidth="1"/>
    <col min="10988" max="10988" width="6.33203125" style="5" customWidth="1"/>
    <col min="10989" max="10989" width="7.6640625" style="5" customWidth="1"/>
    <col min="10990" max="10990" width="6.33203125" style="5" customWidth="1"/>
    <col min="10991" max="10991" width="7.6640625" style="5" customWidth="1"/>
    <col min="10992" max="10992" width="5.6640625" style="5" customWidth="1"/>
    <col min="10993" max="10993" width="7.109375" style="5" customWidth="1"/>
    <col min="10994" max="10994" width="6.33203125" style="5" customWidth="1"/>
    <col min="10995" max="10995" width="7.5546875" style="5" customWidth="1"/>
    <col min="10996" max="10996" width="6.109375" style="5" customWidth="1"/>
    <col min="10997" max="10997" width="7.5546875" style="5" customWidth="1"/>
    <col min="10998" max="10998" width="5.44140625" style="5" customWidth="1"/>
    <col min="10999" max="10999" width="7" style="5" customWidth="1"/>
    <col min="11000" max="11000" width="7.6640625" style="5" customWidth="1"/>
    <col min="11001" max="11001" width="8" style="5" customWidth="1"/>
    <col min="11002" max="11002" width="7.44140625" style="5" customWidth="1"/>
    <col min="11003" max="11003" width="12.6640625" style="5" customWidth="1"/>
    <col min="11004" max="11004" width="7.44140625" style="5" customWidth="1"/>
    <col min="11005" max="11005" width="12.6640625" style="5" customWidth="1"/>
    <col min="11006" max="11006" width="11" style="5" customWidth="1"/>
    <col min="11007" max="11007" width="12.6640625" style="5" customWidth="1"/>
    <col min="11008" max="11008" width="12.109375" style="5" customWidth="1"/>
    <col min="11009" max="11215" width="9.109375" style="5"/>
    <col min="11216" max="11216" width="4.109375" style="5" customWidth="1"/>
    <col min="11217" max="11217" width="26.6640625" style="5" customWidth="1"/>
    <col min="11218" max="11218" width="5.88671875" style="5" customWidth="1"/>
    <col min="11219" max="11219" width="8" style="5" customWidth="1"/>
    <col min="11220" max="11220" width="10.88671875" style="5" customWidth="1"/>
    <col min="11221" max="11221" width="6.5546875" style="5" customWidth="1"/>
    <col min="11222" max="11222" width="7.33203125" style="5" customWidth="1"/>
    <col min="11223" max="11223" width="5.88671875" style="5" customWidth="1"/>
    <col min="11224" max="11226" width="7.109375" style="5" customWidth="1"/>
    <col min="11227" max="11227" width="7.33203125" style="5" customWidth="1"/>
    <col min="11228" max="11228" width="7.6640625" style="5" customWidth="1"/>
    <col min="11229" max="11229" width="8.109375" style="5" customWidth="1"/>
    <col min="11230" max="11230" width="7.109375" style="5" customWidth="1"/>
    <col min="11231" max="11231" width="8.33203125" style="5" customWidth="1"/>
    <col min="11232" max="11232" width="7.6640625" style="5" customWidth="1"/>
    <col min="11233" max="11233" width="8.33203125" style="5" customWidth="1"/>
    <col min="11234" max="11234" width="7.33203125" style="5" customWidth="1"/>
    <col min="11235" max="11235" width="8.44140625" style="5" customWidth="1"/>
    <col min="11236" max="11236" width="6.88671875" style="5" customWidth="1"/>
    <col min="11237" max="11237" width="7.88671875" style="5" customWidth="1"/>
    <col min="11238" max="11238" width="5.44140625" style="5" customWidth="1"/>
    <col min="11239" max="11239" width="6.44140625" style="5" customWidth="1"/>
    <col min="11240" max="11240" width="6.109375" style="5" customWidth="1"/>
    <col min="11241" max="11241" width="8.44140625" style="5" customWidth="1"/>
    <col min="11242" max="11242" width="7" style="5" customWidth="1"/>
    <col min="11243" max="11243" width="7.109375" style="5" customWidth="1"/>
    <col min="11244" max="11244" width="6.33203125" style="5" customWidth="1"/>
    <col min="11245" max="11245" width="7.6640625" style="5" customWidth="1"/>
    <col min="11246" max="11246" width="6.33203125" style="5" customWidth="1"/>
    <col min="11247" max="11247" width="7.6640625" style="5" customWidth="1"/>
    <col min="11248" max="11248" width="5.6640625" style="5" customWidth="1"/>
    <col min="11249" max="11249" width="7.109375" style="5" customWidth="1"/>
    <col min="11250" max="11250" width="6.33203125" style="5" customWidth="1"/>
    <col min="11251" max="11251" width="7.5546875" style="5" customWidth="1"/>
    <col min="11252" max="11252" width="6.109375" style="5" customWidth="1"/>
    <col min="11253" max="11253" width="7.5546875" style="5" customWidth="1"/>
    <col min="11254" max="11254" width="5.44140625" style="5" customWidth="1"/>
    <col min="11255" max="11255" width="7" style="5" customWidth="1"/>
    <col min="11256" max="11256" width="7.6640625" style="5" customWidth="1"/>
    <col min="11257" max="11257" width="8" style="5" customWidth="1"/>
    <col min="11258" max="11258" width="7.44140625" style="5" customWidth="1"/>
    <col min="11259" max="11259" width="12.6640625" style="5" customWidth="1"/>
    <col min="11260" max="11260" width="7.44140625" style="5" customWidth="1"/>
    <col min="11261" max="11261" width="12.6640625" style="5" customWidth="1"/>
    <col min="11262" max="11262" width="11" style="5" customWidth="1"/>
    <col min="11263" max="11263" width="12.6640625" style="5" customWidth="1"/>
    <col min="11264" max="11264" width="12.109375" style="5" customWidth="1"/>
    <col min="11265" max="11471" width="9.109375" style="5"/>
    <col min="11472" max="11472" width="4.109375" style="5" customWidth="1"/>
    <col min="11473" max="11473" width="26.6640625" style="5" customWidth="1"/>
    <col min="11474" max="11474" width="5.88671875" style="5" customWidth="1"/>
    <col min="11475" max="11475" width="8" style="5" customWidth="1"/>
    <col min="11476" max="11476" width="10.88671875" style="5" customWidth="1"/>
    <col min="11477" max="11477" width="6.5546875" style="5" customWidth="1"/>
    <col min="11478" max="11478" width="7.33203125" style="5" customWidth="1"/>
    <col min="11479" max="11479" width="5.88671875" style="5" customWidth="1"/>
    <col min="11480" max="11482" width="7.109375" style="5" customWidth="1"/>
    <col min="11483" max="11483" width="7.33203125" style="5" customWidth="1"/>
    <col min="11484" max="11484" width="7.6640625" style="5" customWidth="1"/>
    <col min="11485" max="11485" width="8.109375" style="5" customWidth="1"/>
    <col min="11486" max="11486" width="7.109375" style="5" customWidth="1"/>
    <col min="11487" max="11487" width="8.33203125" style="5" customWidth="1"/>
    <col min="11488" max="11488" width="7.6640625" style="5" customWidth="1"/>
    <col min="11489" max="11489" width="8.33203125" style="5" customWidth="1"/>
    <col min="11490" max="11490" width="7.33203125" style="5" customWidth="1"/>
    <col min="11491" max="11491" width="8.44140625" style="5" customWidth="1"/>
    <col min="11492" max="11492" width="6.88671875" style="5" customWidth="1"/>
    <col min="11493" max="11493" width="7.88671875" style="5" customWidth="1"/>
    <col min="11494" max="11494" width="5.44140625" style="5" customWidth="1"/>
    <col min="11495" max="11495" width="6.44140625" style="5" customWidth="1"/>
    <col min="11496" max="11496" width="6.109375" style="5" customWidth="1"/>
    <col min="11497" max="11497" width="8.44140625" style="5" customWidth="1"/>
    <col min="11498" max="11498" width="7" style="5" customWidth="1"/>
    <col min="11499" max="11499" width="7.109375" style="5" customWidth="1"/>
    <col min="11500" max="11500" width="6.33203125" style="5" customWidth="1"/>
    <col min="11501" max="11501" width="7.6640625" style="5" customWidth="1"/>
    <col min="11502" max="11502" width="6.33203125" style="5" customWidth="1"/>
    <col min="11503" max="11503" width="7.6640625" style="5" customWidth="1"/>
    <col min="11504" max="11504" width="5.6640625" style="5" customWidth="1"/>
    <col min="11505" max="11505" width="7.109375" style="5" customWidth="1"/>
    <col min="11506" max="11506" width="6.33203125" style="5" customWidth="1"/>
    <col min="11507" max="11507" width="7.5546875" style="5" customWidth="1"/>
    <col min="11508" max="11508" width="6.109375" style="5" customWidth="1"/>
    <col min="11509" max="11509" width="7.5546875" style="5" customWidth="1"/>
    <col min="11510" max="11510" width="5.44140625" style="5" customWidth="1"/>
    <col min="11511" max="11511" width="7" style="5" customWidth="1"/>
    <col min="11512" max="11512" width="7.6640625" style="5" customWidth="1"/>
    <col min="11513" max="11513" width="8" style="5" customWidth="1"/>
    <col min="11514" max="11514" width="7.44140625" style="5" customWidth="1"/>
    <col min="11515" max="11515" width="12.6640625" style="5" customWidth="1"/>
    <col min="11516" max="11516" width="7.44140625" style="5" customWidth="1"/>
    <col min="11517" max="11517" width="12.6640625" style="5" customWidth="1"/>
    <col min="11518" max="11518" width="11" style="5" customWidth="1"/>
    <col min="11519" max="11519" width="12.6640625" style="5" customWidth="1"/>
    <col min="11520" max="11520" width="12.109375" style="5" customWidth="1"/>
    <col min="11521" max="11727" width="9.109375" style="5"/>
    <col min="11728" max="11728" width="4.109375" style="5" customWidth="1"/>
    <col min="11729" max="11729" width="26.6640625" style="5" customWidth="1"/>
    <col min="11730" max="11730" width="5.88671875" style="5" customWidth="1"/>
    <col min="11731" max="11731" width="8" style="5" customWidth="1"/>
    <col min="11732" max="11732" width="10.88671875" style="5" customWidth="1"/>
    <col min="11733" max="11733" width="6.5546875" style="5" customWidth="1"/>
    <col min="11734" max="11734" width="7.33203125" style="5" customWidth="1"/>
    <col min="11735" max="11735" width="5.88671875" style="5" customWidth="1"/>
    <col min="11736" max="11738" width="7.109375" style="5" customWidth="1"/>
    <col min="11739" max="11739" width="7.33203125" style="5" customWidth="1"/>
    <col min="11740" max="11740" width="7.6640625" style="5" customWidth="1"/>
    <col min="11741" max="11741" width="8.109375" style="5" customWidth="1"/>
    <col min="11742" max="11742" width="7.109375" style="5" customWidth="1"/>
    <col min="11743" max="11743" width="8.33203125" style="5" customWidth="1"/>
    <col min="11744" max="11744" width="7.6640625" style="5" customWidth="1"/>
    <col min="11745" max="11745" width="8.33203125" style="5" customWidth="1"/>
    <col min="11746" max="11746" width="7.33203125" style="5" customWidth="1"/>
    <col min="11747" max="11747" width="8.44140625" style="5" customWidth="1"/>
    <col min="11748" max="11748" width="6.88671875" style="5" customWidth="1"/>
    <col min="11749" max="11749" width="7.88671875" style="5" customWidth="1"/>
    <col min="11750" max="11750" width="5.44140625" style="5" customWidth="1"/>
    <col min="11751" max="11751" width="6.44140625" style="5" customWidth="1"/>
    <col min="11752" max="11752" width="6.109375" style="5" customWidth="1"/>
    <col min="11753" max="11753" width="8.44140625" style="5" customWidth="1"/>
    <col min="11754" max="11754" width="7" style="5" customWidth="1"/>
    <col min="11755" max="11755" width="7.109375" style="5" customWidth="1"/>
    <col min="11756" max="11756" width="6.33203125" style="5" customWidth="1"/>
    <col min="11757" max="11757" width="7.6640625" style="5" customWidth="1"/>
    <col min="11758" max="11758" width="6.33203125" style="5" customWidth="1"/>
    <col min="11759" max="11759" width="7.6640625" style="5" customWidth="1"/>
    <col min="11760" max="11760" width="5.6640625" style="5" customWidth="1"/>
    <col min="11761" max="11761" width="7.109375" style="5" customWidth="1"/>
    <col min="11762" max="11762" width="6.33203125" style="5" customWidth="1"/>
    <col min="11763" max="11763" width="7.5546875" style="5" customWidth="1"/>
    <col min="11764" max="11764" width="6.109375" style="5" customWidth="1"/>
    <col min="11765" max="11765" width="7.5546875" style="5" customWidth="1"/>
    <col min="11766" max="11766" width="5.44140625" style="5" customWidth="1"/>
    <col min="11767" max="11767" width="7" style="5" customWidth="1"/>
    <col min="11768" max="11768" width="7.6640625" style="5" customWidth="1"/>
    <col min="11769" max="11769" width="8" style="5" customWidth="1"/>
    <col min="11770" max="11770" width="7.44140625" style="5" customWidth="1"/>
    <col min="11771" max="11771" width="12.6640625" style="5" customWidth="1"/>
    <col min="11772" max="11772" width="7.44140625" style="5" customWidth="1"/>
    <col min="11773" max="11773" width="12.6640625" style="5" customWidth="1"/>
    <col min="11774" max="11774" width="11" style="5" customWidth="1"/>
    <col min="11775" max="11775" width="12.6640625" style="5" customWidth="1"/>
    <col min="11776" max="11776" width="12.109375" style="5" customWidth="1"/>
    <col min="11777" max="11983" width="9.109375" style="5"/>
    <col min="11984" max="11984" width="4.109375" style="5" customWidth="1"/>
    <col min="11985" max="11985" width="26.6640625" style="5" customWidth="1"/>
    <col min="11986" max="11986" width="5.88671875" style="5" customWidth="1"/>
    <col min="11987" max="11987" width="8" style="5" customWidth="1"/>
    <col min="11988" max="11988" width="10.88671875" style="5" customWidth="1"/>
    <col min="11989" max="11989" width="6.5546875" style="5" customWidth="1"/>
    <col min="11990" max="11990" width="7.33203125" style="5" customWidth="1"/>
    <col min="11991" max="11991" width="5.88671875" style="5" customWidth="1"/>
    <col min="11992" max="11994" width="7.109375" style="5" customWidth="1"/>
    <col min="11995" max="11995" width="7.33203125" style="5" customWidth="1"/>
    <col min="11996" max="11996" width="7.6640625" style="5" customWidth="1"/>
    <col min="11997" max="11997" width="8.109375" style="5" customWidth="1"/>
    <col min="11998" max="11998" width="7.109375" style="5" customWidth="1"/>
    <col min="11999" max="11999" width="8.33203125" style="5" customWidth="1"/>
    <col min="12000" max="12000" width="7.6640625" style="5" customWidth="1"/>
    <col min="12001" max="12001" width="8.33203125" style="5" customWidth="1"/>
    <col min="12002" max="12002" width="7.33203125" style="5" customWidth="1"/>
    <col min="12003" max="12003" width="8.44140625" style="5" customWidth="1"/>
    <col min="12004" max="12004" width="6.88671875" style="5" customWidth="1"/>
    <col min="12005" max="12005" width="7.88671875" style="5" customWidth="1"/>
    <col min="12006" max="12006" width="5.44140625" style="5" customWidth="1"/>
    <col min="12007" max="12007" width="6.44140625" style="5" customWidth="1"/>
    <col min="12008" max="12008" width="6.109375" style="5" customWidth="1"/>
    <col min="12009" max="12009" width="8.44140625" style="5" customWidth="1"/>
    <col min="12010" max="12010" width="7" style="5" customWidth="1"/>
    <col min="12011" max="12011" width="7.109375" style="5" customWidth="1"/>
    <col min="12012" max="12012" width="6.33203125" style="5" customWidth="1"/>
    <col min="12013" max="12013" width="7.6640625" style="5" customWidth="1"/>
    <col min="12014" max="12014" width="6.33203125" style="5" customWidth="1"/>
    <col min="12015" max="12015" width="7.6640625" style="5" customWidth="1"/>
    <col min="12016" max="12016" width="5.6640625" style="5" customWidth="1"/>
    <col min="12017" max="12017" width="7.109375" style="5" customWidth="1"/>
    <col min="12018" max="12018" width="6.33203125" style="5" customWidth="1"/>
    <col min="12019" max="12019" width="7.5546875" style="5" customWidth="1"/>
    <col min="12020" max="12020" width="6.109375" style="5" customWidth="1"/>
    <col min="12021" max="12021" width="7.5546875" style="5" customWidth="1"/>
    <col min="12022" max="12022" width="5.44140625" style="5" customWidth="1"/>
    <col min="12023" max="12023" width="7" style="5" customWidth="1"/>
    <col min="12024" max="12024" width="7.6640625" style="5" customWidth="1"/>
    <col min="12025" max="12025" width="8" style="5" customWidth="1"/>
    <col min="12026" max="12026" width="7.44140625" style="5" customWidth="1"/>
    <col min="12027" max="12027" width="12.6640625" style="5" customWidth="1"/>
    <col min="12028" max="12028" width="7.44140625" style="5" customWidth="1"/>
    <col min="12029" max="12029" width="12.6640625" style="5" customWidth="1"/>
    <col min="12030" max="12030" width="11" style="5" customWidth="1"/>
    <col min="12031" max="12031" width="12.6640625" style="5" customWidth="1"/>
    <col min="12032" max="12032" width="12.109375" style="5" customWidth="1"/>
    <col min="12033" max="12239" width="9.109375" style="5"/>
    <col min="12240" max="12240" width="4.109375" style="5" customWidth="1"/>
    <col min="12241" max="12241" width="26.6640625" style="5" customWidth="1"/>
    <col min="12242" max="12242" width="5.88671875" style="5" customWidth="1"/>
    <col min="12243" max="12243" width="8" style="5" customWidth="1"/>
    <col min="12244" max="12244" width="10.88671875" style="5" customWidth="1"/>
    <col min="12245" max="12245" width="6.5546875" style="5" customWidth="1"/>
    <col min="12246" max="12246" width="7.33203125" style="5" customWidth="1"/>
    <col min="12247" max="12247" width="5.88671875" style="5" customWidth="1"/>
    <col min="12248" max="12250" width="7.109375" style="5" customWidth="1"/>
    <col min="12251" max="12251" width="7.33203125" style="5" customWidth="1"/>
    <col min="12252" max="12252" width="7.6640625" style="5" customWidth="1"/>
    <col min="12253" max="12253" width="8.109375" style="5" customWidth="1"/>
    <col min="12254" max="12254" width="7.109375" style="5" customWidth="1"/>
    <col min="12255" max="12255" width="8.33203125" style="5" customWidth="1"/>
    <col min="12256" max="12256" width="7.6640625" style="5" customWidth="1"/>
    <col min="12257" max="12257" width="8.33203125" style="5" customWidth="1"/>
    <col min="12258" max="12258" width="7.33203125" style="5" customWidth="1"/>
    <col min="12259" max="12259" width="8.44140625" style="5" customWidth="1"/>
    <col min="12260" max="12260" width="6.88671875" style="5" customWidth="1"/>
    <col min="12261" max="12261" width="7.88671875" style="5" customWidth="1"/>
    <col min="12262" max="12262" width="5.44140625" style="5" customWidth="1"/>
    <col min="12263" max="12263" width="6.44140625" style="5" customWidth="1"/>
    <col min="12264" max="12264" width="6.109375" style="5" customWidth="1"/>
    <col min="12265" max="12265" width="8.44140625" style="5" customWidth="1"/>
    <col min="12266" max="12266" width="7" style="5" customWidth="1"/>
    <col min="12267" max="12267" width="7.109375" style="5" customWidth="1"/>
    <col min="12268" max="12268" width="6.33203125" style="5" customWidth="1"/>
    <col min="12269" max="12269" width="7.6640625" style="5" customWidth="1"/>
    <col min="12270" max="12270" width="6.33203125" style="5" customWidth="1"/>
    <col min="12271" max="12271" width="7.6640625" style="5" customWidth="1"/>
    <col min="12272" max="12272" width="5.6640625" style="5" customWidth="1"/>
    <col min="12273" max="12273" width="7.109375" style="5" customWidth="1"/>
    <col min="12274" max="12274" width="6.33203125" style="5" customWidth="1"/>
    <col min="12275" max="12275" width="7.5546875" style="5" customWidth="1"/>
    <col min="12276" max="12276" width="6.109375" style="5" customWidth="1"/>
    <col min="12277" max="12277" width="7.5546875" style="5" customWidth="1"/>
    <col min="12278" max="12278" width="5.44140625" style="5" customWidth="1"/>
    <col min="12279" max="12279" width="7" style="5" customWidth="1"/>
    <col min="12280" max="12280" width="7.6640625" style="5" customWidth="1"/>
    <col min="12281" max="12281" width="8" style="5" customWidth="1"/>
    <col min="12282" max="12282" width="7.44140625" style="5" customWidth="1"/>
    <col min="12283" max="12283" width="12.6640625" style="5" customWidth="1"/>
    <col min="12284" max="12284" width="7.44140625" style="5" customWidth="1"/>
    <col min="12285" max="12285" width="12.6640625" style="5" customWidth="1"/>
    <col min="12286" max="12286" width="11" style="5" customWidth="1"/>
    <col min="12287" max="12287" width="12.6640625" style="5" customWidth="1"/>
    <col min="12288" max="12288" width="12.109375" style="5" customWidth="1"/>
    <col min="12289" max="12495" width="9.109375" style="5"/>
    <col min="12496" max="12496" width="4.109375" style="5" customWidth="1"/>
    <col min="12497" max="12497" width="26.6640625" style="5" customWidth="1"/>
    <col min="12498" max="12498" width="5.88671875" style="5" customWidth="1"/>
    <col min="12499" max="12499" width="8" style="5" customWidth="1"/>
    <col min="12500" max="12500" width="10.88671875" style="5" customWidth="1"/>
    <col min="12501" max="12501" width="6.5546875" style="5" customWidth="1"/>
    <col min="12502" max="12502" width="7.33203125" style="5" customWidth="1"/>
    <col min="12503" max="12503" width="5.88671875" style="5" customWidth="1"/>
    <col min="12504" max="12506" width="7.109375" style="5" customWidth="1"/>
    <col min="12507" max="12507" width="7.33203125" style="5" customWidth="1"/>
    <col min="12508" max="12508" width="7.6640625" style="5" customWidth="1"/>
    <col min="12509" max="12509" width="8.109375" style="5" customWidth="1"/>
    <col min="12510" max="12510" width="7.109375" style="5" customWidth="1"/>
    <col min="12511" max="12511" width="8.33203125" style="5" customWidth="1"/>
    <col min="12512" max="12512" width="7.6640625" style="5" customWidth="1"/>
    <col min="12513" max="12513" width="8.33203125" style="5" customWidth="1"/>
    <col min="12514" max="12514" width="7.33203125" style="5" customWidth="1"/>
    <col min="12515" max="12515" width="8.44140625" style="5" customWidth="1"/>
    <col min="12516" max="12516" width="6.88671875" style="5" customWidth="1"/>
    <col min="12517" max="12517" width="7.88671875" style="5" customWidth="1"/>
    <col min="12518" max="12518" width="5.44140625" style="5" customWidth="1"/>
    <col min="12519" max="12519" width="6.44140625" style="5" customWidth="1"/>
    <col min="12520" max="12520" width="6.109375" style="5" customWidth="1"/>
    <col min="12521" max="12521" width="8.44140625" style="5" customWidth="1"/>
    <col min="12522" max="12522" width="7" style="5" customWidth="1"/>
    <col min="12523" max="12523" width="7.109375" style="5" customWidth="1"/>
    <col min="12524" max="12524" width="6.33203125" style="5" customWidth="1"/>
    <col min="12525" max="12525" width="7.6640625" style="5" customWidth="1"/>
    <col min="12526" max="12526" width="6.33203125" style="5" customWidth="1"/>
    <col min="12527" max="12527" width="7.6640625" style="5" customWidth="1"/>
    <col min="12528" max="12528" width="5.6640625" style="5" customWidth="1"/>
    <col min="12529" max="12529" width="7.109375" style="5" customWidth="1"/>
    <col min="12530" max="12530" width="6.33203125" style="5" customWidth="1"/>
    <col min="12531" max="12531" width="7.5546875" style="5" customWidth="1"/>
    <col min="12532" max="12532" width="6.109375" style="5" customWidth="1"/>
    <col min="12533" max="12533" width="7.5546875" style="5" customWidth="1"/>
    <col min="12534" max="12534" width="5.44140625" style="5" customWidth="1"/>
    <col min="12535" max="12535" width="7" style="5" customWidth="1"/>
    <col min="12536" max="12536" width="7.6640625" style="5" customWidth="1"/>
    <col min="12537" max="12537" width="8" style="5" customWidth="1"/>
    <col min="12538" max="12538" width="7.44140625" style="5" customWidth="1"/>
    <col min="12539" max="12539" width="12.6640625" style="5" customWidth="1"/>
    <col min="12540" max="12540" width="7.44140625" style="5" customWidth="1"/>
    <col min="12541" max="12541" width="12.6640625" style="5" customWidth="1"/>
    <col min="12542" max="12542" width="11" style="5" customWidth="1"/>
    <col min="12543" max="12543" width="12.6640625" style="5" customWidth="1"/>
    <col min="12544" max="12544" width="12.109375" style="5" customWidth="1"/>
    <col min="12545" max="12751" width="9.109375" style="5"/>
    <col min="12752" max="12752" width="4.109375" style="5" customWidth="1"/>
    <col min="12753" max="12753" width="26.6640625" style="5" customWidth="1"/>
    <col min="12754" max="12754" width="5.88671875" style="5" customWidth="1"/>
    <col min="12755" max="12755" width="8" style="5" customWidth="1"/>
    <col min="12756" max="12756" width="10.88671875" style="5" customWidth="1"/>
    <col min="12757" max="12757" width="6.5546875" style="5" customWidth="1"/>
    <col min="12758" max="12758" width="7.33203125" style="5" customWidth="1"/>
    <col min="12759" max="12759" width="5.88671875" style="5" customWidth="1"/>
    <col min="12760" max="12762" width="7.109375" style="5" customWidth="1"/>
    <col min="12763" max="12763" width="7.33203125" style="5" customWidth="1"/>
    <col min="12764" max="12764" width="7.6640625" style="5" customWidth="1"/>
    <col min="12765" max="12765" width="8.109375" style="5" customWidth="1"/>
    <col min="12766" max="12766" width="7.109375" style="5" customWidth="1"/>
    <col min="12767" max="12767" width="8.33203125" style="5" customWidth="1"/>
    <col min="12768" max="12768" width="7.6640625" style="5" customWidth="1"/>
    <col min="12769" max="12769" width="8.33203125" style="5" customWidth="1"/>
    <col min="12770" max="12770" width="7.33203125" style="5" customWidth="1"/>
    <col min="12771" max="12771" width="8.44140625" style="5" customWidth="1"/>
    <col min="12772" max="12772" width="6.88671875" style="5" customWidth="1"/>
    <col min="12773" max="12773" width="7.88671875" style="5" customWidth="1"/>
    <col min="12774" max="12774" width="5.44140625" style="5" customWidth="1"/>
    <col min="12775" max="12775" width="6.44140625" style="5" customWidth="1"/>
    <col min="12776" max="12776" width="6.109375" style="5" customWidth="1"/>
    <col min="12777" max="12777" width="8.44140625" style="5" customWidth="1"/>
    <col min="12778" max="12778" width="7" style="5" customWidth="1"/>
    <col min="12779" max="12779" width="7.109375" style="5" customWidth="1"/>
    <col min="12780" max="12780" width="6.33203125" style="5" customWidth="1"/>
    <col min="12781" max="12781" width="7.6640625" style="5" customWidth="1"/>
    <col min="12782" max="12782" width="6.33203125" style="5" customWidth="1"/>
    <col min="12783" max="12783" width="7.6640625" style="5" customWidth="1"/>
    <col min="12784" max="12784" width="5.6640625" style="5" customWidth="1"/>
    <col min="12785" max="12785" width="7.109375" style="5" customWidth="1"/>
    <col min="12786" max="12786" width="6.33203125" style="5" customWidth="1"/>
    <col min="12787" max="12787" width="7.5546875" style="5" customWidth="1"/>
    <col min="12788" max="12788" width="6.109375" style="5" customWidth="1"/>
    <col min="12789" max="12789" width="7.5546875" style="5" customWidth="1"/>
    <col min="12790" max="12790" width="5.44140625" style="5" customWidth="1"/>
    <col min="12791" max="12791" width="7" style="5" customWidth="1"/>
    <col min="12792" max="12792" width="7.6640625" style="5" customWidth="1"/>
    <col min="12793" max="12793" width="8" style="5" customWidth="1"/>
    <col min="12794" max="12794" width="7.44140625" style="5" customWidth="1"/>
    <col min="12795" max="12795" width="12.6640625" style="5" customWidth="1"/>
    <col min="12796" max="12796" width="7.44140625" style="5" customWidth="1"/>
    <col min="12797" max="12797" width="12.6640625" style="5" customWidth="1"/>
    <col min="12798" max="12798" width="11" style="5" customWidth="1"/>
    <col min="12799" max="12799" width="12.6640625" style="5" customWidth="1"/>
    <col min="12800" max="12800" width="12.109375" style="5" customWidth="1"/>
    <col min="12801" max="13007" width="9.109375" style="5"/>
    <col min="13008" max="13008" width="4.109375" style="5" customWidth="1"/>
    <col min="13009" max="13009" width="26.6640625" style="5" customWidth="1"/>
    <col min="13010" max="13010" width="5.88671875" style="5" customWidth="1"/>
    <col min="13011" max="13011" width="8" style="5" customWidth="1"/>
    <col min="13012" max="13012" width="10.88671875" style="5" customWidth="1"/>
    <col min="13013" max="13013" width="6.5546875" style="5" customWidth="1"/>
    <col min="13014" max="13014" width="7.33203125" style="5" customWidth="1"/>
    <col min="13015" max="13015" width="5.88671875" style="5" customWidth="1"/>
    <col min="13016" max="13018" width="7.109375" style="5" customWidth="1"/>
    <col min="13019" max="13019" width="7.33203125" style="5" customWidth="1"/>
    <col min="13020" max="13020" width="7.6640625" style="5" customWidth="1"/>
    <col min="13021" max="13021" width="8.109375" style="5" customWidth="1"/>
    <col min="13022" max="13022" width="7.109375" style="5" customWidth="1"/>
    <col min="13023" max="13023" width="8.33203125" style="5" customWidth="1"/>
    <col min="13024" max="13024" width="7.6640625" style="5" customWidth="1"/>
    <col min="13025" max="13025" width="8.33203125" style="5" customWidth="1"/>
    <col min="13026" max="13026" width="7.33203125" style="5" customWidth="1"/>
    <col min="13027" max="13027" width="8.44140625" style="5" customWidth="1"/>
    <col min="13028" max="13028" width="6.88671875" style="5" customWidth="1"/>
    <col min="13029" max="13029" width="7.88671875" style="5" customWidth="1"/>
    <col min="13030" max="13030" width="5.44140625" style="5" customWidth="1"/>
    <col min="13031" max="13031" width="6.44140625" style="5" customWidth="1"/>
    <col min="13032" max="13032" width="6.109375" style="5" customWidth="1"/>
    <col min="13033" max="13033" width="8.44140625" style="5" customWidth="1"/>
    <col min="13034" max="13034" width="7" style="5" customWidth="1"/>
    <col min="13035" max="13035" width="7.109375" style="5" customWidth="1"/>
    <col min="13036" max="13036" width="6.33203125" style="5" customWidth="1"/>
    <col min="13037" max="13037" width="7.6640625" style="5" customWidth="1"/>
    <col min="13038" max="13038" width="6.33203125" style="5" customWidth="1"/>
    <col min="13039" max="13039" width="7.6640625" style="5" customWidth="1"/>
    <col min="13040" max="13040" width="5.6640625" style="5" customWidth="1"/>
    <col min="13041" max="13041" width="7.109375" style="5" customWidth="1"/>
    <col min="13042" max="13042" width="6.33203125" style="5" customWidth="1"/>
    <col min="13043" max="13043" width="7.5546875" style="5" customWidth="1"/>
    <col min="13044" max="13044" width="6.109375" style="5" customWidth="1"/>
    <col min="13045" max="13045" width="7.5546875" style="5" customWidth="1"/>
    <col min="13046" max="13046" width="5.44140625" style="5" customWidth="1"/>
    <col min="13047" max="13047" width="7" style="5" customWidth="1"/>
    <col min="13048" max="13048" width="7.6640625" style="5" customWidth="1"/>
    <col min="13049" max="13049" width="8" style="5" customWidth="1"/>
    <col min="13050" max="13050" width="7.44140625" style="5" customWidth="1"/>
    <col min="13051" max="13051" width="12.6640625" style="5" customWidth="1"/>
    <col min="13052" max="13052" width="7.44140625" style="5" customWidth="1"/>
    <col min="13053" max="13053" width="12.6640625" style="5" customWidth="1"/>
    <col min="13054" max="13054" width="11" style="5" customWidth="1"/>
    <col min="13055" max="13055" width="12.6640625" style="5" customWidth="1"/>
    <col min="13056" max="13056" width="12.109375" style="5" customWidth="1"/>
    <col min="13057" max="13263" width="9.109375" style="5"/>
    <col min="13264" max="13264" width="4.109375" style="5" customWidth="1"/>
    <col min="13265" max="13265" width="26.6640625" style="5" customWidth="1"/>
    <col min="13266" max="13266" width="5.88671875" style="5" customWidth="1"/>
    <col min="13267" max="13267" width="8" style="5" customWidth="1"/>
    <col min="13268" max="13268" width="10.88671875" style="5" customWidth="1"/>
    <col min="13269" max="13269" width="6.5546875" style="5" customWidth="1"/>
    <col min="13270" max="13270" width="7.33203125" style="5" customWidth="1"/>
    <col min="13271" max="13271" width="5.88671875" style="5" customWidth="1"/>
    <col min="13272" max="13274" width="7.109375" style="5" customWidth="1"/>
    <col min="13275" max="13275" width="7.33203125" style="5" customWidth="1"/>
    <col min="13276" max="13276" width="7.6640625" style="5" customWidth="1"/>
    <col min="13277" max="13277" width="8.109375" style="5" customWidth="1"/>
    <col min="13278" max="13278" width="7.109375" style="5" customWidth="1"/>
    <col min="13279" max="13279" width="8.33203125" style="5" customWidth="1"/>
    <col min="13280" max="13280" width="7.6640625" style="5" customWidth="1"/>
    <col min="13281" max="13281" width="8.33203125" style="5" customWidth="1"/>
    <col min="13282" max="13282" width="7.33203125" style="5" customWidth="1"/>
    <col min="13283" max="13283" width="8.44140625" style="5" customWidth="1"/>
    <col min="13284" max="13284" width="6.88671875" style="5" customWidth="1"/>
    <col min="13285" max="13285" width="7.88671875" style="5" customWidth="1"/>
    <col min="13286" max="13286" width="5.44140625" style="5" customWidth="1"/>
    <col min="13287" max="13287" width="6.44140625" style="5" customWidth="1"/>
    <col min="13288" max="13288" width="6.109375" style="5" customWidth="1"/>
    <col min="13289" max="13289" width="8.44140625" style="5" customWidth="1"/>
    <col min="13290" max="13290" width="7" style="5" customWidth="1"/>
    <col min="13291" max="13291" width="7.109375" style="5" customWidth="1"/>
    <col min="13292" max="13292" width="6.33203125" style="5" customWidth="1"/>
    <col min="13293" max="13293" width="7.6640625" style="5" customWidth="1"/>
    <col min="13294" max="13294" width="6.33203125" style="5" customWidth="1"/>
    <col min="13295" max="13295" width="7.6640625" style="5" customWidth="1"/>
    <col min="13296" max="13296" width="5.6640625" style="5" customWidth="1"/>
    <col min="13297" max="13297" width="7.109375" style="5" customWidth="1"/>
    <col min="13298" max="13298" width="6.33203125" style="5" customWidth="1"/>
    <col min="13299" max="13299" width="7.5546875" style="5" customWidth="1"/>
    <col min="13300" max="13300" width="6.109375" style="5" customWidth="1"/>
    <col min="13301" max="13301" width="7.5546875" style="5" customWidth="1"/>
    <col min="13302" max="13302" width="5.44140625" style="5" customWidth="1"/>
    <col min="13303" max="13303" width="7" style="5" customWidth="1"/>
    <col min="13304" max="13304" width="7.6640625" style="5" customWidth="1"/>
    <col min="13305" max="13305" width="8" style="5" customWidth="1"/>
    <col min="13306" max="13306" width="7.44140625" style="5" customWidth="1"/>
    <col min="13307" max="13307" width="12.6640625" style="5" customWidth="1"/>
    <col min="13308" max="13308" width="7.44140625" style="5" customWidth="1"/>
    <col min="13309" max="13309" width="12.6640625" style="5" customWidth="1"/>
    <col min="13310" max="13310" width="11" style="5" customWidth="1"/>
    <col min="13311" max="13311" width="12.6640625" style="5" customWidth="1"/>
    <col min="13312" max="13312" width="12.109375" style="5" customWidth="1"/>
    <col min="13313" max="13519" width="9.109375" style="5"/>
    <col min="13520" max="13520" width="4.109375" style="5" customWidth="1"/>
    <col min="13521" max="13521" width="26.6640625" style="5" customWidth="1"/>
    <col min="13522" max="13522" width="5.88671875" style="5" customWidth="1"/>
    <col min="13523" max="13523" width="8" style="5" customWidth="1"/>
    <col min="13524" max="13524" width="10.88671875" style="5" customWidth="1"/>
    <col min="13525" max="13525" width="6.5546875" style="5" customWidth="1"/>
    <col min="13526" max="13526" width="7.33203125" style="5" customWidth="1"/>
    <col min="13527" max="13527" width="5.88671875" style="5" customWidth="1"/>
    <col min="13528" max="13530" width="7.109375" style="5" customWidth="1"/>
    <col min="13531" max="13531" width="7.33203125" style="5" customWidth="1"/>
    <col min="13532" max="13532" width="7.6640625" style="5" customWidth="1"/>
    <col min="13533" max="13533" width="8.109375" style="5" customWidth="1"/>
    <col min="13534" max="13534" width="7.109375" style="5" customWidth="1"/>
    <col min="13535" max="13535" width="8.33203125" style="5" customWidth="1"/>
    <col min="13536" max="13536" width="7.6640625" style="5" customWidth="1"/>
    <col min="13537" max="13537" width="8.33203125" style="5" customWidth="1"/>
    <col min="13538" max="13538" width="7.33203125" style="5" customWidth="1"/>
    <col min="13539" max="13539" width="8.44140625" style="5" customWidth="1"/>
    <col min="13540" max="13540" width="6.88671875" style="5" customWidth="1"/>
    <col min="13541" max="13541" width="7.88671875" style="5" customWidth="1"/>
    <col min="13542" max="13542" width="5.44140625" style="5" customWidth="1"/>
    <col min="13543" max="13543" width="6.44140625" style="5" customWidth="1"/>
    <col min="13544" max="13544" width="6.109375" style="5" customWidth="1"/>
    <col min="13545" max="13545" width="8.44140625" style="5" customWidth="1"/>
    <col min="13546" max="13546" width="7" style="5" customWidth="1"/>
    <col min="13547" max="13547" width="7.109375" style="5" customWidth="1"/>
    <col min="13548" max="13548" width="6.33203125" style="5" customWidth="1"/>
    <col min="13549" max="13549" width="7.6640625" style="5" customWidth="1"/>
    <col min="13550" max="13550" width="6.33203125" style="5" customWidth="1"/>
    <col min="13551" max="13551" width="7.6640625" style="5" customWidth="1"/>
    <col min="13552" max="13552" width="5.6640625" style="5" customWidth="1"/>
    <col min="13553" max="13553" width="7.109375" style="5" customWidth="1"/>
    <col min="13554" max="13554" width="6.33203125" style="5" customWidth="1"/>
    <col min="13555" max="13555" width="7.5546875" style="5" customWidth="1"/>
    <col min="13556" max="13556" width="6.109375" style="5" customWidth="1"/>
    <col min="13557" max="13557" width="7.5546875" style="5" customWidth="1"/>
    <col min="13558" max="13558" width="5.44140625" style="5" customWidth="1"/>
    <col min="13559" max="13559" width="7" style="5" customWidth="1"/>
    <col min="13560" max="13560" width="7.6640625" style="5" customWidth="1"/>
    <col min="13561" max="13561" width="8" style="5" customWidth="1"/>
    <col min="13562" max="13562" width="7.44140625" style="5" customWidth="1"/>
    <col min="13563" max="13563" width="12.6640625" style="5" customWidth="1"/>
    <col min="13564" max="13564" width="7.44140625" style="5" customWidth="1"/>
    <col min="13565" max="13565" width="12.6640625" style="5" customWidth="1"/>
    <col min="13566" max="13566" width="11" style="5" customWidth="1"/>
    <col min="13567" max="13567" width="12.6640625" style="5" customWidth="1"/>
    <col min="13568" max="13568" width="12.109375" style="5" customWidth="1"/>
    <col min="13569" max="13775" width="9.109375" style="5"/>
    <col min="13776" max="13776" width="4.109375" style="5" customWidth="1"/>
    <col min="13777" max="13777" width="26.6640625" style="5" customWidth="1"/>
    <col min="13778" max="13778" width="5.88671875" style="5" customWidth="1"/>
    <col min="13779" max="13779" width="8" style="5" customWidth="1"/>
    <col min="13780" max="13780" width="10.88671875" style="5" customWidth="1"/>
    <col min="13781" max="13781" width="6.5546875" style="5" customWidth="1"/>
    <col min="13782" max="13782" width="7.33203125" style="5" customWidth="1"/>
    <col min="13783" max="13783" width="5.88671875" style="5" customWidth="1"/>
    <col min="13784" max="13786" width="7.109375" style="5" customWidth="1"/>
    <col min="13787" max="13787" width="7.33203125" style="5" customWidth="1"/>
    <col min="13788" max="13788" width="7.6640625" style="5" customWidth="1"/>
    <col min="13789" max="13789" width="8.109375" style="5" customWidth="1"/>
    <col min="13790" max="13790" width="7.109375" style="5" customWidth="1"/>
    <col min="13791" max="13791" width="8.33203125" style="5" customWidth="1"/>
    <col min="13792" max="13792" width="7.6640625" style="5" customWidth="1"/>
    <col min="13793" max="13793" width="8.33203125" style="5" customWidth="1"/>
    <col min="13794" max="13794" width="7.33203125" style="5" customWidth="1"/>
    <col min="13795" max="13795" width="8.44140625" style="5" customWidth="1"/>
    <col min="13796" max="13796" width="6.88671875" style="5" customWidth="1"/>
    <col min="13797" max="13797" width="7.88671875" style="5" customWidth="1"/>
    <col min="13798" max="13798" width="5.44140625" style="5" customWidth="1"/>
    <col min="13799" max="13799" width="6.44140625" style="5" customWidth="1"/>
    <col min="13800" max="13800" width="6.109375" style="5" customWidth="1"/>
    <col min="13801" max="13801" width="8.44140625" style="5" customWidth="1"/>
    <col min="13802" max="13802" width="7" style="5" customWidth="1"/>
    <col min="13803" max="13803" width="7.109375" style="5" customWidth="1"/>
    <col min="13804" max="13804" width="6.33203125" style="5" customWidth="1"/>
    <col min="13805" max="13805" width="7.6640625" style="5" customWidth="1"/>
    <col min="13806" max="13806" width="6.33203125" style="5" customWidth="1"/>
    <col min="13807" max="13807" width="7.6640625" style="5" customWidth="1"/>
    <col min="13808" max="13808" width="5.6640625" style="5" customWidth="1"/>
    <col min="13809" max="13809" width="7.109375" style="5" customWidth="1"/>
    <col min="13810" max="13810" width="6.33203125" style="5" customWidth="1"/>
    <col min="13811" max="13811" width="7.5546875" style="5" customWidth="1"/>
    <col min="13812" max="13812" width="6.109375" style="5" customWidth="1"/>
    <col min="13813" max="13813" width="7.5546875" style="5" customWidth="1"/>
    <col min="13814" max="13814" width="5.44140625" style="5" customWidth="1"/>
    <col min="13815" max="13815" width="7" style="5" customWidth="1"/>
    <col min="13816" max="13816" width="7.6640625" style="5" customWidth="1"/>
    <col min="13817" max="13817" width="8" style="5" customWidth="1"/>
    <col min="13818" max="13818" width="7.44140625" style="5" customWidth="1"/>
    <col min="13819" max="13819" width="12.6640625" style="5" customWidth="1"/>
    <col min="13820" max="13820" width="7.44140625" style="5" customWidth="1"/>
    <col min="13821" max="13821" width="12.6640625" style="5" customWidth="1"/>
    <col min="13822" max="13822" width="11" style="5" customWidth="1"/>
    <col min="13823" max="13823" width="12.6640625" style="5" customWidth="1"/>
    <col min="13824" max="13824" width="12.109375" style="5" customWidth="1"/>
    <col min="13825" max="14031" width="9.109375" style="5"/>
    <col min="14032" max="14032" width="4.109375" style="5" customWidth="1"/>
    <col min="14033" max="14033" width="26.6640625" style="5" customWidth="1"/>
    <col min="14034" max="14034" width="5.88671875" style="5" customWidth="1"/>
    <col min="14035" max="14035" width="8" style="5" customWidth="1"/>
    <col min="14036" max="14036" width="10.88671875" style="5" customWidth="1"/>
    <col min="14037" max="14037" width="6.5546875" style="5" customWidth="1"/>
    <col min="14038" max="14038" width="7.33203125" style="5" customWidth="1"/>
    <col min="14039" max="14039" width="5.88671875" style="5" customWidth="1"/>
    <col min="14040" max="14042" width="7.109375" style="5" customWidth="1"/>
    <col min="14043" max="14043" width="7.33203125" style="5" customWidth="1"/>
    <col min="14044" max="14044" width="7.6640625" style="5" customWidth="1"/>
    <col min="14045" max="14045" width="8.109375" style="5" customWidth="1"/>
    <col min="14046" max="14046" width="7.109375" style="5" customWidth="1"/>
    <col min="14047" max="14047" width="8.33203125" style="5" customWidth="1"/>
    <col min="14048" max="14048" width="7.6640625" style="5" customWidth="1"/>
    <col min="14049" max="14049" width="8.33203125" style="5" customWidth="1"/>
    <col min="14050" max="14050" width="7.33203125" style="5" customWidth="1"/>
    <col min="14051" max="14051" width="8.44140625" style="5" customWidth="1"/>
    <col min="14052" max="14052" width="6.88671875" style="5" customWidth="1"/>
    <col min="14053" max="14053" width="7.88671875" style="5" customWidth="1"/>
    <col min="14054" max="14054" width="5.44140625" style="5" customWidth="1"/>
    <col min="14055" max="14055" width="6.44140625" style="5" customWidth="1"/>
    <col min="14056" max="14056" width="6.109375" style="5" customWidth="1"/>
    <col min="14057" max="14057" width="8.44140625" style="5" customWidth="1"/>
    <col min="14058" max="14058" width="7" style="5" customWidth="1"/>
    <col min="14059" max="14059" width="7.109375" style="5" customWidth="1"/>
    <col min="14060" max="14060" width="6.33203125" style="5" customWidth="1"/>
    <col min="14061" max="14061" width="7.6640625" style="5" customWidth="1"/>
    <col min="14062" max="14062" width="6.33203125" style="5" customWidth="1"/>
    <col min="14063" max="14063" width="7.6640625" style="5" customWidth="1"/>
    <col min="14064" max="14064" width="5.6640625" style="5" customWidth="1"/>
    <col min="14065" max="14065" width="7.109375" style="5" customWidth="1"/>
    <col min="14066" max="14066" width="6.33203125" style="5" customWidth="1"/>
    <col min="14067" max="14067" width="7.5546875" style="5" customWidth="1"/>
    <col min="14068" max="14068" width="6.109375" style="5" customWidth="1"/>
    <col min="14069" max="14069" width="7.5546875" style="5" customWidth="1"/>
    <col min="14070" max="14070" width="5.44140625" style="5" customWidth="1"/>
    <col min="14071" max="14071" width="7" style="5" customWidth="1"/>
    <col min="14072" max="14072" width="7.6640625" style="5" customWidth="1"/>
    <col min="14073" max="14073" width="8" style="5" customWidth="1"/>
    <col min="14074" max="14074" width="7.44140625" style="5" customWidth="1"/>
    <col min="14075" max="14075" width="12.6640625" style="5" customWidth="1"/>
    <col min="14076" max="14076" width="7.44140625" style="5" customWidth="1"/>
    <col min="14077" max="14077" width="12.6640625" style="5" customWidth="1"/>
    <col min="14078" max="14078" width="11" style="5" customWidth="1"/>
    <col min="14079" max="14079" width="12.6640625" style="5" customWidth="1"/>
    <col min="14080" max="14080" width="12.109375" style="5" customWidth="1"/>
    <col min="14081" max="14287" width="9.109375" style="5"/>
    <col min="14288" max="14288" width="4.109375" style="5" customWidth="1"/>
    <col min="14289" max="14289" width="26.6640625" style="5" customWidth="1"/>
    <col min="14290" max="14290" width="5.88671875" style="5" customWidth="1"/>
    <col min="14291" max="14291" width="8" style="5" customWidth="1"/>
    <col min="14292" max="14292" width="10.88671875" style="5" customWidth="1"/>
    <col min="14293" max="14293" width="6.5546875" style="5" customWidth="1"/>
    <col min="14294" max="14294" width="7.33203125" style="5" customWidth="1"/>
    <col min="14295" max="14295" width="5.88671875" style="5" customWidth="1"/>
    <col min="14296" max="14298" width="7.109375" style="5" customWidth="1"/>
    <col min="14299" max="14299" width="7.33203125" style="5" customWidth="1"/>
    <col min="14300" max="14300" width="7.6640625" style="5" customWidth="1"/>
    <col min="14301" max="14301" width="8.109375" style="5" customWidth="1"/>
    <col min="14302" max="14302" width="7.109375" style="5" customWidth="1"/>
    <col min="14303" max="14303" width="8.33203125" style="5" customWidth="1"/>
    <col min="14304" max="14304" width="7.6640625" style="5" customWidth="1"/>
    <col min="14305" max="14305" width="8.33203125" style="5" customWidth="1"/>
    <col min="14306" max="14306" width="7.33203125" style="5" customWidth="1"/>
    <col min="14307" max="14307" width="8.44140625" style="5" customWidth="1"/>
    <col min="14308" max="14308" width="6.88671875" style="5" customWidth="1"/>
    <col min="14309" max="14309" width="7.88671875" style="5" customWidth="1"/>
    <col min="14310" max="14310" width="5.44140625" style="5" customWidth="1"/>
    <col min="14311" max="14311" width="6.44140625" style="5" customWidth="1"/>
    <col min="14312" max="14312" width="6.109375" style="5" customWidth="1"/>
    <col min="14313" max="14313" width="8.44140625" style="5" customWidth="1"/>
    <col min="14314" max="14314" width="7" style="5" customWidth="1"/>
    <col min="14315" max="14315" width="7.109375" style="5" customWidth="1"/>
    <col min="14316" max="14316" width="6.33203125" style="5" customWidth="1"/>
    <col min="14317" max="14317" width="7.6640625" style="5" customWidth="1"/>
    <col min="14318" max="14318" width="6.33203125" style="5" customWidth="1"/>
    <col min="14319" max="14319" width="7.6640625" style="5" customWidth="1"/>
    <col min="14320" max="14320" width="5.6640625" style="5" customWidth="1"/>
    <col min="14321" max="14321" width="7.109375" style="5" customWidth="1"/>
    <col min="14322" max="14322" width="6.33203125" style="5" customWidth="1"/>
    <col min="14323" max="14323" width="7.5546875" style="5" customWidth="1"/>
    <col min="14324" max="14324" width="6.109375" style="5" customWidth="1"/>
    <col min="14325" max="14325" width="7.5546875" style="5" customWidth="1"/>
    <col min="14326" max="14326" width="5.44140625" style="5" customWidth="1"/>
    <col min="14327" max="14327" width="7" style="5" customWidth="1"/>
    <col min="14328" max="14328" width="7.6640625" style="5" customWidth="1"/>
    <col min="14329" max="14329" width="8" style="5" customWidth="1"/>
    <col min="14330" max="14330" width="7.44140625" style="5" customWidth="1"/>
    <col min="14331" max="14331" width="12.6640625" style="5" customWidth="1"/>
    <col min="14332" max="14332" width="7.44140625" style="5" customWidth="1"/>
    <col min="14333" max="14333" width="12.6640625" style="5" customWidth="1"/>
    <col min="14334" max="14334" width="11" style="5" customWidth="1"/>
    <col min="14335" max="14335" width="12.6640625" style="5" customWidth="1"/>
    <col min="14336" max="14336" width="12.109375" style="5" customWidth="1"/>
    <col min="14337" max="14543" width="9.109375" style="5"/>
    <col min="14544" max="14544" width="4.109375" style="5" customWidth="1"/>
    <col min="14545" max="14545" width="26.6640625" style="5" customWidth="1"/>
    <col min="14546" max="14546" width="5.88671875" style="5" customWidth="1"/>
    <col min="14547" max="14547" width="8" style="5" customWidth="1"/>
    <col min="14548" max="14548" width="10.88671875" style="5" customWidth="1"/>
    <col min="14549" max="14549" width="6.5546875" style="5" customWidth="1"/>
    <col min="14550" max="14550" width="7.33203125" style="5" customWidth="1"/>
    <col min="14551" max="14551" width="5.88671875" style="5" customWidth="1"/>
    <col min="14552" max="14554" width="7.109375" style="5" customWidth="1"/>
    <col min="14555" max="14555" width="7.33203125" style="5" customWidth="1"/>
    <col min="14556" max="14556" width="7.6640625" style="5" customWidth="1"/>
    <col min="14557" max="14557" width="8.109375" style="5" customWidth="1"/>
    <col min="14558" max="14558" width="7.109375" style="5" customWidth="1"/>
    <col min="14559" max="14559" width="8.33203125" style="5" customWidth="1"/>
    <col min="14560" max="14560" width="7.6640625" style="5" customWidth="1"/>
    <col min="14561" max="14561" width="8.33203125" style="5" customWidth="1"/>
    <col min="14562" max="14562" width="7.33203125" style="5" customWidth="1"/>
    <col min="14563" max="14563" width="8.44140625" style="5" customWidth="1"/>
    <col min="14564" max="14564" width="6.88671875" style="5" customWidth="1"/>
    <col min="14565" max="14565" width="7.88671875" style="5" customWidth="1"/>
    <col min="14566" max="14566" width="5.44140625" style="5" customWidth="1"/>
    <col min="14567" max="14567" width="6.44140625" style="5" customWidth="1"/>
    <col min="14568" max="14568" width="6.109375" style="5" customWidth="1"/>
    <col min="14569" max="14569" width="8.44140625" style="5" customWidth="1"/>
    <col min="14570" max="14570" width="7" style="5" customWidth="1"/>
    <col min="14571" max="14571" width="7.109375" style="5" customWidth="1"/>
    <col min="14572" max="14572" width="6.33203125" style="5" customWidth="1"/>
    <col min="14573" max="14573" width="7.6640625" style="5" customWidth="1"/>
    <col min="14574" max="14574" width="6.33203125" style="5" customWidth="1"/>
    <col min="14575" max="14575" width="7.6640625" style="5" customWidth="1"/>
    <col min="14576" max="14576" width="5.6640625" style="5" customWidth="1"/>
    <col min="14577" max="14577" width="7.109375" style="5" customWidth="1"/>
    <col min="14578" max="14578" width="6.33203125" style="5" customWidth="1"/>
    <col min="14579" max="14579" width="7.5546875" style="5" customWidth="1"/>
    <col min="14580" max="14580" width="6.109375" style="5" customWidth="1"/>
    <col min="14581" max="14581" width="7.5546875" style="5" customWidth="1"/>
    <col min="14582" max="14582" width="5.44140625" style="5" customWidth="1"/>
    <col min="14583" max="14583" width="7" style="5" customWidth="1"/>
    <col min="14584" max="14584" width="7.6640625" style="5" customWidth="1"/>
    <col min="14585" max="14585" width="8" style="5" customWidth="1"/>
    <col min="14586" max="14586" width="7.44140625" style="5" customWidth="1"/>
    <col min="14587" max="14587" width="12.6640625" style="5" customWidth="1"/>
    <col min="14588" max="14588" width="7.44140625" style="5" customWidth="1"/>
    <col min="14589" max="14589" width="12.6640625" style="5" customWidth="1"/>
    <col min="14590" max="14590" width="11" style="5" customWidth="1"/>
    <col min="14591" max="14591" width="12.6640625" style="5" customWidth="1"/>
    <col min="14592" max="14592" width="12.109375" style="5" customWidth="1"/>
    <col min="14593" max="14799" width="9.109375" style="5"/>
    <col min="14800" max="14800" width="4.109375" style="5" customWidth="1"/>
    <col min="14801" max="14801" width="26.6640625" style="5" customWidth="1"/>
    <col min="14802" max="14802" width="5.88671875" style="5" customWidth="1"/>
    <col min="14803" max="14803" width="8" style="5" customWidth="1"/>
    <col min="14804" max="14804" width="10.88671875" style="5" customWidth="1"/>
    <col min="14805" max="14805" width="6.5546875" style="5" customWidth="1"/>
    <col min="14806" max="14806" width="7.33203125" style="5" customWidth="1"/>
    <col min="14807" max="14807" width="5.88671875" style="5" customWidth="1"/>
    <col min="14808" max="14810" width="7.109375" style="5" customWidth="1"/>
    <col min="14811" max="14811" width="7.33203125" style="5" customWidth="1"/>
    <col min="14812" max="14812" width="7.6640625" style="5" customWidth="1"/>
    <col min="14813" max="14813" width="8.109375" style="5" customWidth="1"/>
    <col min="14814" max="14814" width="7.109375" style="5" customWidth="1"/>
    <col min="14815" max="14815" width="8.33203125" style="5" customWidth="1"/>
    <col min="14816" max="14816" width="7.6640625" style="5" customWidth="1"/>
    <col min="14817" max="14817" width="8.33203125" style="5" customWidth="1"/>
    <col min="14818" max="14818" width="7.33203125" style="5" customWidth="1"/>
    <col min="14819" max="14819" width="8.44140625" style="5" customWidth="1"/>
    <col min="14820" max="14820" width="6.88671875" style="5" customWidth="1"/>
    <col min="14821" max="14821" width="7.88671875" style="5" customWidth="1"/>
    <col min="14822" max="14822" width="5.44140625" style="5" customWidth="1"/>
    <col min="14823" max="14823" width="6.44140625" style="5" customWidth="1"/>
    <col min="14824" max="14824" width="6.109375" style="5" customWidth="1"/>
    <col min="14825" max="14825" width="8.44140625" style="5" customWidth="1"/>
    <col min="14826" max="14826" width="7" style="5" customWidth="1"/>
    <col min="14827" max="14827" width="7.109375" style="5" customWidth="1"/>
    <col min="14828" max="14828" width="6.33203125" style="5" customWidth="1"/>
    <col min="14829" max="14829" width="7.6640625" style="5" customWidth="1"/>
    <col min="14830" max="14830" width="6.33203125" style="5" customWidth="1"/>
    <col min="14831" max="14831" width="7.6640625" style="5" customWidth="1"/>
    <col min="14832" max="14832" width="5.6640625" style="5" customWidth="1"/>
    <col min="14833" max="14833" width="7.109375" style="5" customWidth="1"/>
    <col min="14834" max="14834" width="6.33203125" style="5" customWidth="1"/>
    <col min="14835" max="14835" width="7.5546875" style="5" customWidth="1"/>
    <col min="14836" max="14836" width="6.109375" style="5" customWidth="1"/>
    <col min="14837" max="14837" width="7.5546875" style="5" customWidth="1"/>
    <col min="14838" max="14838" width="5.44140625" style="5" customWidth="1"/>
    <col min="14839" max="14839" width="7" style="5" customWidth="1"/>
    <col min="14840" max="14840" width="7.6640625" style="5" customWidth="1"/>
    <col min="14841" max="14841" width="8" style="5" customWidth="1"/>
    <col min="14842" max="14842" width="7.44140625" style="5" customWidth="1"/>
    <col min="14843" max="14843" width="12.6640625" style="5" customWidth="1"/>
    <col min="14844" max="14844" width="7.44140625" style="5" customWidth="1"/>
    <col min="14845" max="14845" width="12.6640625" style="5" customWidth="1"/>
    <col min="14846" max="14846" width="11" style="5" customWidth="1"/>
    <col min="14847" max="14847" width="12.6640625" style="5" customWidth="1"/>
    <col min="14848" max="14848" width="12.109375" style="5" customWidth="1"/>
    <col min="14849" max="15055" width="9.109375" style="5"/>
    <col min="15056" max="15056" width="4.109375" style="5" customWidth="1"/>
    <col min="15057" max="15057" width="26.6640625" style="5" customWidth="1"/>
    <col min="15058" max="15058" width="5.88671875" style="5" customWidth="1"/>
    <col min="15059" max="15059" width="8" style="5" customWidth="1"/>
    <col min="15060" max="15060" width="10.88671875" style="5" customWidth="1"/>
    <col min="15061" max="15061" width="6.5546875" style="5" customWidth="1"/>
    <col min="15062" max="15062" width="7.33203125" style="5" customWidth="1"/>
    <col min="15063" max="15063" width="5.88671875" style="5" customWidth="1"/>
    <col min="15064" max="15066" width="7.109375" style="5" customWidth="1"/>
    <col min="15067" max="15067" width="7.33203125" style="5" customWidth="1"/>
    <col min="15068" max="15068" width="7.6640625" style="5" customWidth="1"/>
    <col min="15069" max="15069" width="8.109375" style="5" customWidth="1"/>
    <col min="15070" max="15070" width="7.109375" style="5" customWidth="1"/>
    <col min="15071" max="15071" width="8.33203125" style="5" customWidth="1"/>
    <col min="15072" max="15072" width="7.6640625" style="5" customWidth="1"/>
    <col min="15073" max="15073" width="8.33203125" style="5" customWidth="1"/>
    <col min="15074" max="15074" width="7.33203125" style="5" customWidth="1"/>
    <col min="15075" max="15075" width="8.44140625" style="5" customWidth="1"/>
    <col min="15076" max="15076" width="6.88671875" style="5" customWidth="1"/>
    <col min="15077" max="15077" width="7.88671875" style="5" customWidth="1"/>
    <col min="15078" max="15078" width="5.44140625" style="5" customWidth="1"/>
    <col min="15079" max="15079" width="6.44140625" style="5" customWidth="1"/>
    <col min="15080" max="15080" width="6.109375" style="5" customWidth="1"/>
    <col min="15081" max="15081" width="8.44140625" style="5" customWidth="1"/>
    <col min="15082" max="15082" width="7" style="5" customWidth="1"/>
    <col min="15083" max="15083" width="7.109375" style="5" customWidth="1"/>
    <col min="15084" max="15084" width="6.33203125" style="5" customWidth="1"/>
    <col min="15085" max="15085" width="7.6640625" style="5" customWidth="1"/>
    <col min="15086" max="15086" width="6.33203125" style="5" customWidth="1"/>
    <col min="15087" max="15087" width="7.6640625" style="5" customWidth="1"/>
    <col min="15088" max="15088" width="5.6640625" style="5" customWidth="1"/>
    <col min="15089" max="15089" width="7.109375" style="5" customWidth="1"/>
    <col min="15090" max="15090" width="6.33203125" style="5" customWidth="1"/>
    <col min="15091" max="15091" width="7.5546875" style="5" customWidth="1"/>
    <col min="15092" max="15092" width="6.109375" style="5" customWidth="1"/>
    <col min="15093" max="15093" width="7.5546875" style="5" customWidth="1"/>
    <col min="15094" max="15094" width="5.44140625" style="5" customWidth="1"/>
    <col min="15095" max="15095" width="7" style="5" customWidth="1"/>
    <col min="15096" max="15096" width="7.6640625" style="5" customWidth="1"/>
    <col min="15097" max="15097" width="8" style="5" customWidth="1"/>
    <col min="15098" max="15098" width="7.44140625" style="5" customWidth="1"/>
    <col min="15099" max="15099" width="12.6640625" style="5" customWidth="1"/>
    <col min="15100" max="15100" width="7.44140625" style="5" customWidth="1"/>
    <col min="15101" max="15101" width="12.6640625" style="5" customWidth="1"/>
    <col min="15102" max="15102" width="11" style="5" customWidth="1"/>
    <col min="15103" max="15103" width="12.6640625" style="5" customWidth="1"/>
    <col min="15104" max="15104" width="12.109375" style="5" customWidth="1"/>
    <col min="15105" max="15311" width="9.109375" style="5"/>
    <col min="15312" max="15312" width="4.109375" style="5" customWidth="1"/>
    <col min="15313" max="15313" width="26.6640625" style="5" customWidth="1"/>
    <col min="15314" max="15314" width="5.88671875" style="5" customWidth="1"/>
    <col min="15315" max="15315" width="8" style="5" customWidth="1"/>
    <col min="15316" max="15316" width="10.88671875" style="5" customWidth="1"/>
    <col min="15317" max="15317" width="6.5546875" style="5" customWidth="1"/>
    <col min="15318" max="15318" width="7.33203125" style="5" customWidth="1"/>
    <col min="15319" max="15319" width="5.88671875" style="5" customWidth="1"/>
    <col min="15320" max="15322" width="7.109375" style="5" customWidth="1"/>
    <col min="15323" max="15323" width="7.33203125" style="5" customWidth="1"/>
    <col min="15324" max="15324" width="7.6640625" style="5" customWidth="1"/>
    <col min="15325" max="15325" width="8.109375" style="5" customWidth="1"/>
    <col min="15326" max="15326" width="7.109375" style="5" customWidth="1"/>
    <col min="15327" max="15327" width="8.33203125" style="5" customWidth="1"/>
    <col min="15328" max="15328" width="7.6640625" style="5" customWidth="1"/>
    <col min="15329" max="15329" width="8.33203125" style="5" customWidth="1"/>
    <col min="15330" max="15330" width="7.33203125" style="5" customWidth="1"/>
    <col min="15331" max="15331" width="8.44140625" style="5" customWidth="1"/>
    <col min="15332" max="15332" width="6.88671875" style="5" customWidth="1"/>
    <col min="15333" max="15333" width="7.88671875" style="5" customWidth="1"/>
    <col min="15334" max="15334" width="5.44140625" style="5" customWidth="1"/>
    <col min="15335" max="15335" width="6.44140625" style="5" customWidth="1"/>
    <col min="15336" max="15336" width="6.109375" style="5" customWidth="1"/>
    <col min="15337" max="15337" width="8.44140625" style="5" customWidth="1"/>
    <col min="15338" max="15338" width="7" style="5" customWidth="1"/>
    <col min="15339" max="15339" width="7.109375" style="5" customWidth="1"/>
    <col min="15340" max="15340" width="6.33203125" style="5" customWidth="1"/>
    <col min="15341" max="15341" width="7.6640625" style="5" customWidth="1"/>
    <col min="15342" max="15342" width="6.33203125" style="5" customWidth="1"/>
    <col min="15343" max="15343" width="7.6640625" style="5" customWidth="1"/>
    <col min="15344" max="15344" width="5.6640625" style="5" customWidth="1"/>
    <col min="15345" max="15345" width="7.109375" style="5" customWidth="1"/>
    <col min="15346" max="15346" width="6.33203125" style="5" customWidth="1"/>
    <col min="15347" max="15347" width="7.5546875" style="5" customWidth="1"/>
    <col min="15348" max="15348" width="6.109375" style="5" customWidth="1"/>
    <col min="15349" max="15349" width="7.5546875" style="5" customWidth="1"/>
    <col min="15350" max="15350" width="5.44140625" style="5" customWidth="1"/>
    <col min="15351" max="15351" width="7" style="5" customWidth="1"/>
    <col min="15352" max="15352" width="7.6640625" style="5" customWidth="1"/>
    <col min="15353" max="15353" width="8" style="5" customWidth="1"/>
    <col min="15354" max="15354" width="7.44140625" style="5" customWidth="1"/>
    <col min="15355" max="15355" width="12.6640625" style="5" customWidth="1"/>
    <col min="15356" max="15356" width="7.44140625" style="5" customWidth="1"/>
    <col min="15357" max="15357" width="12.6640625" style="5" customWidth="1"/>
    <col min="15358" max="15358" width="11" style="5" customWidth="1"/>
    <col min="15359" max="15359" width="12.6640625" style="5" customWidth="1"/>
    <col min="15360" max="15360" width="12.109375" style="5" customWidth="1"/>
    <col min="15361" max="15567" width="9.109375" style="5"/>
    <col min="15568" max="15568" width="4.109375" style="5" customWidth="1"/>
    <col min="15569" max="15569" width="26.6640625" style="5" customWidth="1"/>
    <col min="15570" max="15570" width="5.88671875" style="5" customWidth="1"/>
    <col min="15571" max="15571" width="8" style="5" customWidth="1"/>
    <col min="15572" max="15572" width="10.88671875" style="5" customWidth="1"/>
    <col min="15573" max="15573" width="6.5546875" style="5" customWidth="1"/>
    <col min="15574" max="15574" width="7.33203125" style="5" customWidth="1"/>
    <col min="15575" max="15575" width="5.88671875" style="5" customWidth="1"/>
    <col min="15576" max="15578" width="7.109375" style="5" customWidth="1"/>
    <col min="15579" max="15579" width="7.33203125" style="5" customWidth="1"/>
    <col min="15580" max="15580" width="7.6640625" style="5" customWidth="1"/>
    <col min="15581" max="15581" width="8.109375" style="5" customWidth="1"/>
    <col min="15582" max="15582" width="7.109375" style="5" customWidth="1"/>
    <col min="15583" max="15583" width="8.33203125" style="5" customWidth="1"/>
    <col min="15584" max="15584" width="7.6640625" style="5" customWidth="1"/>
    <col min="15585" max="15585" width="8.33203125" style="5" customWidth="1"/>
    <col min="15586" max="15586" width="7.33203125" style="5" customWidth="1"/>
    <col min="15587" max="15587" width="8.44140625" style="5" customWidth="1"/>
    <col min="15588" max="15588" width="6.88671875" style="5" customWidth="1"/>
    <col min="15589" max="15589" width="7.88671875" style="5" customWidth="1"/>
    <col min="15590" max="15590" width="5.44140625" style="5" customWidth="1"/>
    <col min="15591" max="15591" width="6.44140625" style="5" customWidth="1"/>
    <col min="15592" max="15592" width="6.109375" style="5" customWidth="1"/>
    <col min="15593" max="15593" width="8.44140625" style="5" customWidth="1"/>
    <col min="15594" max="15594" width="7" style="5" customWidth="1"/>
    <col min="15595" max="15595" width="7.109375" style="5" customWidth="1"/>
    <col min="15596" max="15596" width="6.33203125" style="5" customWidth="1"/>
    <col min="15597" max="15597" width="7.6640625" style="5" customWidth="1"/>
    <col min="15598" max="15598" width="6.33203125" style="5" customWidth="1"/>
    <col min="15599" max="15599" width="7.6640625" style="5" customWidth="1"/>
    <col min="15600" max="15600" width="5.6640625" style="5" customWidth="1"/>
    <col min="15601" max="15601" width="7.109375" style="5" customWidth="1"/>
    <col min="15602" max="15602" width="6.33203125" style="5" customWidth="1"/>
    <col min="15603" max="15603" width="7.5546875" style="5" customWidth="1"/>
    <col min="15604" max="15604" width="6.109375" style="5" customWidth="1"/>
    <col min="15605" max="15605" width="7.5546875" style="5" customWidth="1"/>
    <col min="15606" max="15606" width="5.44140625" style="5" customWidth="1"/>
    <col min="15607" max="15607" width="7" style="5" customWidth="1"/>
    <col min="15608" max="15608" width="7.6640625" style="5" customWidth="1"/>
    <col min="15609" max="15609" width="8" style="5" customWidth="1"/>
    <col min="15610" max="15610" width="7.44140625" style="5" customWidth="1"/>
    <col min="15611" max="15611" width="12.6640625" style="5" customWidth="1"/>
    <col min="15612" max="15612" width="7.44140625" style="5" customWidth="1"/>
    <col min="15613" max="15613" width="12.6640625" style="5" customWidth="1"/>
    <col min="15614" max="15614" width="11" style="5" customWidth="1"/>
    <col min="15615" max="15615" width="12.6640625" style="5" customWidth="1"/>
    <col min="15616" max="15616" width="12.109375" style="5" customWidth="1"/>
    <col min="15617" max="15823" width="9.109375" style="5"/>
    <col min="15824" max="15824" width="4.109375" style="5" customWidth="1"/>
    <col min="15825" max="15825" width="26.6640625" style="5" customWidth="1"/>
    <col min="15826" max="15826" width="5.88671875" style="5" customWidth="1"/>
    <col min="15827" max="15827" width="8" style="5" customWidth="1"/>
    <col min="15828" max="15828" width="10.88671875" style="5" customWidth="1"/>
    <col min="15829" max="15829" width="6.5546875" style="5" customWidth="1"/>
    <col min="15830" max="15830" width="7.33203125" style="5" customWidth="1"/>
    <col min="15831" max="15831" width="5.88671875" style="5" customWidth="1"/>
    <col min="15832" max="15834" width="7.109375" style="5" customWidth="1"/>
    <col min="15835" max="15835" width="7.33203125" style="5" customWidth="1"/>
    <col min="15836" max="15836" width="7.6640625" style="5" customWidth="1"/>
    <col min="15837" max="15837" width="8.109375" style="5" customWidth="1"/>
    <col min="15838" max="15838" width="7.109375" style="5" customWidth="1"/>
    <col min="15839" max="15839" width="8.33203125" style="5" customWidth="1"/>
    <col min="15840" max="15840" width="7.6640625" style="5" customWidth="1"/>
    <col min="15841" max="15841" width="8.33203125" style="5" customWidth="1"/>
    <col min="15842" max="15842" width="7.33203125" style="5" customWidth="1"/>
    <col min="15843" max="15843" width="8.44140625" style="5" customWidth="1"/>
    <col min="15844" max="15844" width="6.88671875" style="5" customWidth="1"/>
    <col min="15845" max="15845" width="7.88671875" style="5" customWidth="1"/>
    <col min="15846" max="15846" width="5.44140625" style="5" customWidth="1"/>
    <col min="15847" max="15847" width="6.44140625" style="5" customWidth="1"/>
    <col min="15848" max="15848" width="6.109375" style="5" customWidth="1"/>
    <col min="15849" max="15849" width="8.44140625" style="5" customWidth="1"/>
    <col min="15850" max="15850" width="7" style="5" customWidth="1"/>
    <col min="15851" max="15851" width="7.109375" style="5" customWidth="1"/>
    <col min="15852" max="15852" width="6.33203125" style="5" customWidth="1"/>
    <col min="15853" max="15853" width="7.6640625" style="5" customWidth="1"/>
    <col min="15854" max="15854" width="6.33203125" style="5" customWidth="1"/>
    <col min="15855" max="15855" width="7.6640625" style="5" customWidth="1"/>
    <col min="15856" max="15856" width="5.6640625" style="5" customWidth="1"/>
    <col min="15857" max="15857" width="7.109375" style="5" customWidth="1"/>
    <col min="15858" max="15858" width="6.33203125" style="5" customWidth="1"/>
    <col min="15859" max="15859" width="7.5546875" style="5" customWidth="1"/>
    <col min="15860" max="15860" width="6.109375" style="5" customWidth="1"/>
    <col min="15861" max="15861" width="7.5546875" style="5" customWidth="1"/>
    <col min="15862" max="15862" width="5.44140625" style="5" customWidth="1"/>
    <col min="15863" max="15863" width="7" style="5" customWidth="1"/>
    <col min="15864" max="15864" width="7.6640625" style="5" customWidth="1"/>
    <col min="15865" max="15865" width="8" style="5" customWidth="1"/>
    <col min="15866" max="15866" width="7.44140625" style="5" customWidth="1"/>
    <col min="15867" max="15867" width="12.6640625" style="5" customWidth="1"/>
    <col min="15868" max="15868" width="7.44140625" style="5" customWidth="1"/>
    <col min="15869" max="15869" width="12.6640625" style="5" customWidth="1"/>
    <col min="15870" max="15870" width="11" style="5" customWidth="1"/>
    <col min="15871" max="15871" width="12.6640625" style="5" customWidth="1"/>
    <col min="15872" max="15872" width="12.109375" style="5" customWidth="1"/>
    <col min="15873" max="16079" width="9.109375" style="5"/>
    <col min="16080" max="16080" width="4.109375" style="5" customWidth="1"/>
    <col min="16081" max="16081" width="26.6640625" style="5" customWidth="1"/>
    <col min="16082" max="16082" width="5.88671875" style="5" customWidth="1"/>
    <col min="16083" max="16083" width="8" style="5" customWidth="1"/>
    <col min="16084" max="16084" width="10.88671875" style="5" customWidth="1"/>
    <col min="16085" max="16085" width="6.5546875" style="5" customWidth="1"/>
    <col min="16086" max="16086" width="7.33203125" style="5" customWidth="1"/>
    <col min="16087" max="16087" width="5.88671875" style="5" customWidth="1"/>
    <col min="16088" max="16090" width="7.109375" style="5" customWidth="1"/>
    <col min="16091" max="16091" width="7.33203125" style="5" customWidth="1"/>
    <col min="16092" max="16092" width="7.6640625" style="5" customWidth="1"/>
    <col min="16093" max="16093" width="8.109375" style="5" customWidth="1"/>
    <col min="16094" max="16094" width="7.109375" style="5" customWidth="1"/>
    <col min="16095" max="16095" width="8.33203125" style="5" customWidth="1"/>
    <col min="16096" max="16096" width="7.6640625" style="5" customWidth="1"/>
    <col min="16097" max="16097" width="8.33203125" style="5" customWidth="1"/>
    <col min="16098" max="16098" width="7.33203125" style="5" customWidth="1"/>
    <col min="16099" max="16099" width="8.44140625" style="5" customWidth="1"/>
    <col min="16100" max="16100" width="6.88671875" style="5" customWidth="1"/>
    <col min="16101" max="16101" width="7.88671875" style="5" customWidth="1"/>
    <col min="16102" max="16102" width="5.44140625" style="5" customWidth="1"/>
    <col min="16103" max="16103" width="6.44140625" style="5" customWidth="1"/>
    <col min="16104" max="16104" width="6.109375" style="5" customWidth="1"/>
    <col min="16105" max="16105" width="8.44140625" style="5" customWidth="1"/>
    <col min="16106" max="16106" width="7" style="5" customWidth="1"/>
    <col min="16107" max="16107" width="7.109375" style="5" customWidth="1"/>
    <col min="16108" max="16108" width="6.33203125" style="5" customWidth="1"/>
    <col min="16109" max="16109" width="7.6640625" style="5" customWidth="1"/>
    <col min="16110" max="16110" width="6.33203125" style="5" customWidth="1"/>
    <col min="16111" max="16111" width="7.6640625" style="5" customWidth="1"/>
    <col min="16112" max="16112" width="5.6640625" style="5" customWidth="1"/>
    <col min="16113" max="16113" width="7.109375" style="5" customWidth="1"/>
    <col min="16114" max="16114" width="6.33203125" style="5" customWidth="1"/>
    <col min="16115" max="16115" width="7.5546875" style="5" customWidth="1"/>
    <col min="16116" max="16116" width="6.109375" style="5" customWidth="1"/>
    <col min="16117" max="16117" width="7.5546875" style="5" customWidth="1"/>
    <col min="16118" max="16118" width="5.44140625" style="5" customWidth="1"/>
    <col min="16119" max="16119" width="7" style="5" customWidth="1"/>
    <col min="16120" max="16120" width="7.6640625" style="5" customWidth="1"/>
    <col min="16121" max="16121" width="8" style="5" customWidth="1"/>
    <col min="16122" max="16122" width="7.44140625" style="5" customWidth="1"/>
    <col min="16123" max="16123" width="12.6640625" style="5" customWidth="1"/>
    <col min="16124" max="16124" width="7.44140625" style="5" customWidth="1"/>
    <col min="16125" max="16125" width="12.6640625" style="5" customWidth="1"/>
    <col min="16126" max="16126" width="11" style="5" customWidth="1"/>
    <col min="16127" max="16127" width="12.6640625" style="5" customWidth="1"/>
    <col min="16128" max="16128" width="12.109375" style="5" customWidth="1"/>
    <col min="16129" max="16384" width="9.109375" style="5"/>
  </cols>
  <sheetData>
    <row r="2" spans="1:16128" s="8" customFormat="1" ht="27" customHeight="1" x14ac:dyDescent="0.3">
      <c r="A2" s="33" t="s">
        <v>0</v>
      </c>
      <c r="B2" s="33" t="s">
        <v>58</v>
      </c>
      <c r="C2" s="33" t="s">
        <v>1</v>
      </c>
      <c r="D2" s="33" t="s">
        <v>21</v>
      </c>
      <c r="E2" s="36" t="s">
        <v>2</v>
      </c>
      <c r="F2" s="33" t="s">
        <v>23</v>
      </c>
      <c r="G2" s="50" t="s">
        <v>37</v>
      </c>
      <c r="H2" s="51"/>
      <c r="I2" s="51"/>
      <c r="J2" s="52"/>
      <c r="K2" s="50" t="s">
        <v>38</v>
      </c>
      <c r="L2" s="51"/>
      <c r="M2" s="51"/>
      <c r="N2" s="52"/>
      <c r="O2" s="42" t="s">
        <v>41</v>
      </c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4"/>
      <c r="AE2" s="47" t="s">
        <v>56</v>
      </c>
      <c r="AF2" s="41" t="s">
        <v>63</v>
      </c>
    </row>
    <row r="3" spans="1:16128" s="9" customFormat="1" ht="27" customHeight="1" x14ac:dyDescent="0.3">
      <c r="A3" s="34"/>
      <c r="B3" s="34"/>
      <c r="C3" s="34"/>
      <c r="D3" s="34"/>
      <c r="E3" s="37"/>
      <c r="F3" s="34"/>
      <c r="G3" s="33" t="s">
        <v>39</v>
      </c>
      <c r="H3" s="53" t="s">
        <v>5</v>
      </c>
      <c r="I3" s="39" t="s">
        <v>40</v>
      </c>
      <c r="J3" s="40"/>
      <c r="K3" s="33" t="s">
        <v>39</v>
      </c>
      <c r="L3" s="53" t="s">
        <v>5</v>
      </c>
      <c r="M3" s="39" t="s">
        <v>40</v>
      </c>
      <c r="N3" s="40"/>
      <c r="O3" s="16" t="s">
        <v>42</v>
      </c>
      <c r="P3" s="16" t="s">
        <v>43</v>
      </c>
      <c r="Q3" s="16" t="s">
        <v>44</v>
      </c>
      <c r="R3" s="16" t="s">
        <v>59</v>
      </c>
      <c r="S3" s="16" t="s">
        <v>45</v>
      </c>
      <c r="T3" s="16" t="s">
        <v>46</v>
      </c>
      <c r="U3" s="19" t="s">
        <v>47</v>
      </c>
      <c r="V3" s="16" t="s">
        <v>48</v>
      </c>
      <c r="W3" s="16" t="s">
        <v>49</v>
      </c>
      <c r="X3" s="16" t="s">
        <v>50</v>
      </c>
      <c r="Y3" s="16" t="s">
        <v>51</v>
      </c>
      <c r="Z3" s="19" t="s">
        <v>52</v>
      </c>
      <c r="AA3" s="19" t="s">
        <v>53</v>
      </c>
      <c r="AB3" s="16" t="s">
        <v>54</v>
      </c>
      <c r="AC3" s="16" t="s">
        <v>55</v>
      </c>
      <c r="AD3" s="45" t="s">
        <v>62</v>
      </c>
      <c r="AE3" s="48"/>
      <c r="AF3" s="41"/>
    </row>
    <row r="4" spans="1:16128" s="8" customFormat="1" ht="23.25" customHeight="1" x14ac:dyDescent="0.3">
      <c r="A4" s="35"/>
      <c r="B4" s="35"/>
      <c r="C4" s="35"/>
      <c r="D4" s="35"/>
      <c r="E4" s="38"/>
      <c r="F4" s="35"/>
      <c r="G4" s="35"/>
      <c r="H4" s="54"/>
      <c r="I4" s="2" t="s">
        <v>4</v>
      </c>
      <c r="J4" s="2" t="s">
        <v>3</v>
      </c>
      <c r="K4" s="35"/>
      <c r="L4" s="54"/>
      <c r="M4" s="2" t="s">
        <v>4</v>
      </c>
      <c r="N4" s="2" t="s">
        <v>3</v>
      </c>
      <c r="O4" s="10">
        <v>0.3</v>
      </c>
      <c r="P4" s="10">
        <v>0.3</v>
      </c>
      <c r="Q4" s="10">
        <v>0.5</v>
      </c>
      <c r="R4" s="10">
        <v>0.5</v>
      </c>
      <c r="S4" s="10">
        <v>1</v>
      </c>
      <c r="T4" s="10">
        <v>1</v>
      </c>
      <c r="U4" s="20">
        <v>1</v>
      </c>
      <c r="V4" s="10">
        <v>1</v>
      </c>
      <c r="W4" s="10">
        <v>3</v>
      </c>
      <c r="X4" s="10">
        <v>3.5</v>
      </c>
      <c r="Y4" s="10">
        <v>4.5</v>
      </c>
      <c r="Z4" s="20">
        <v>4.5</v>
      </c>
      <c r="AA4" s="20">
        <v>7.5</v>
      </c>
      <c r="AB4" s="10">
        <v>9</v>
      </c>
      <c r="AC4" s="10">
        <v>12.5</v>
      </c>
      <c r="AD4" s="46"/>
      <c r="AE4" s="49"/>
      <c r="AF4" s="41"/>
    </row>
    <row r="5" spans="1:16128" s="8" customFormat="1" ht="23.25" customHeight="1" x14ac:dyDescent="0.3">
      <c r="A5" s="17"/>
      <c r="B5" s="17">
        <v>1</v>
      </c>
      <c r="C5" s="17">
        <v>2</v>
      </c>
      <c r="D5" s="17">
        <v>3</v>
      </c>
      <c r="E5" s="17">
        <v>4</v>
      </c>
      <c r="F5" s="17">
        <v>5</v>
      </c>
      <c r="G5" s="17">
        <v>6</v>
      </c>
      <c r="H5" s="17">
        <v>7</v>
      </c>
      <c r="I5" s="17">
        <v>8</v>
      </c>
      <c r="J5" s="17">
        <v>9</v>
      </c>
      <c r="K5" s="17">
        <v>10</v>
      </c>
      <c r="L5" s="17">
        <v>11</v>
      </c>
      <c r="M5" s="17">
        <v>12</v>
      </c>
      <c r="N5" s="17">
        <v>13</v>
      </c>
      <c r="O5" s="17">
        <v>14</v>
      </c>
      <c r="P5" s="17">
        <v>15</v>
      </c>
      <c r="Q5" s="17">
        <v>16</v>
      </c>
      <c r="R5" s="17">
        <v>17</v>
      </c>
      <c r="S5" s="17">
        <v>18</v>
      </c>
      <c r="T5" s="17">
        <v>19</v>
      </c>
      <c r="U5" s="21">
        <v>20</v>
      </c>
      <c r="V5" s="17">
        <v>21</v>
      </c>
      <c r="W5" s="17">
        <v>22</v>
      </c>
      <c r="X5" s="17">
        <v>23</v>
      </c>
      <c r="Y5" s="17">
        <v>24</v>
      </c>
      <c r="Z5" s="21">
        <v>25</v>
      </c>
      <c r="AA5" s="21">
        <v>26</v>
      </c>
      <c r="AB5" s="17">
        <v>27</v>
      </c>
      <c r="AC5" s="17">
        <v>28</v>
      </c>
      <c r="AD5" s="17">
        <v>29</v>
      </c>
      <c r="AE5" s="17">
        <v>30</v>
      </c>
    </row>
    <row r="6" spans="1:16128" s="8" customFormat="1" ht="23.25" customHeight="1" x14ac:dyDescent="0.3">
      <c r="A6" s="55" t="s">
        <v>61</v>
      </c>
      <c r="B6" s="56" t="s">
        <v>93</v>
      </c>
      <c r="C6" s="55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21"/>
      <c r="V6" s="17"/>
      <c r="W6" s="17"/>
      <c r="X6" s="17"/>
      <c r="Y6" s="17"/>
      <c r="Z6" s="21"/>
      <c r="AA6" s="21"/>
      <c r="AB6" s="17"/>
      <c r="AC6" s="17"/>
      <c r="AD6" s="17"/>
      <c r="AE6" s="17"/>
    </row>
    <row r="7" spans="1:16128" ht="21.75" customHeight="1" x14ac:dyDescent="0.3">
      <c r="A7" s="6" t="s">
        <v>64</v>
      </c>
      <c r="B7" s="11" t="s">
        <v>65</v>
      </c>
      <c r="C7" s="11" t="s">
        <v>66</v>
      </c>
      <c r="D7" s="6" t="s">
        <v>67</v>
      </c>
      <c r="E7" s="6" t="s">
        <v>68</v>
      </c>
      <c r="F7" s="6" t="s">
        <v>69</v>
      </c>
      <c r="G7" s="6" t="s">
        <v>70</v>
      </c>
      <c r="H7" s="6" t="s">
        <v>71</v>
      </c>
      <c r="I7" s="6" t="s">
        <v>72</v>
      </c>
      <c r="J7" s="6" t="s">
        <v>73</v>
      </c>
      <c r="K7" s="6" t="s">
        <v>74</v>
      </c>
      <c r="L7" s="6" t="s">
        <v>75</v>
      </c>
      <c r="M7" s="6" t="s">
        <v>76</v>
      </c>
      <c r="N7" s="6" t="s">
        <v>77</v>
      </c>
      <c r="O7" s="15" t="s">
        <v>78</v>
      </c>
      <c r="P7" s="15" t="s">
        <v>79</v>
      </c>
      <c r="Q7" s="15" t="s">
        <v>80</v>
      </c>
      <c r="R7" s="15" t="s">
        <v>81</v>
      </c>
      <c r="S7" s="15" t="s">
        <v>82</v>
      </c>
      <c r="T7" s="15" t="s">
        <v>83</v>
      </c>
      <c r="U7" s="22" t="s">
        <v>84</v>
      </c>
      <c r="V7" s="15" t="s">
        <v>85</v>
      </c>
      <c r="W7" s="15" t="s">
        <v>86</v>
      </c>
      <c r="X7" s="15" t="s">
        <v>87</v>
      </c>
      <c r="Y7" s="15" t="s">
        <v>88</v>
      </c>
      <c r="Z7" s="22" t="s">
        <v>89</v>
      </c>
      <c r="AA7" s="22" t="s">
        <v>90</v>
      </c>
      <c r="AB7" s="15" t="s">
        <v>91</v>
      </c>
      <c r="AC7" s="15" t="s">
        <v>92</v>
      </c>
      <c r="AD7" s="32" t="e">
        <f>$O$4*O7+$P$4*P7+$Q$4*Q7+$R$4*R7+$S$4*S7+$T$4*T7+$U$4*U7+$V$4*V7+$W$4*W7+$X$4*X7+$Y$4*Y7+$Z$4*Z7+$AA$4*AA7+$AB$4*AB7+$AC$4*AC7</f>
        <v>#VALUE!</v>
      </c>
      <c r="AE7" s="3" t="s">
        <v>97</v>
      </c>
    </row>
    <row r="8" spans="1:16128" ht="21.75" customHeight="1" x14ac:dyDescent="0.3">
      <c r="A8" s="55" t="s">
        <v>60</v>
      </c>
      <c r="B8" s="56" t="s">
        <v>94</v>
      </c>
      <c r="C8" s="55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8"/>
      <c r="P8" s="58"/>
      <c r="Q8" s="58"/>
      <c r="R8" s="58"/>
      <c r="S8" s="58"/>
      <c r="T8" s="58"/>
      <c r="U8" s="59"/>
      <c r="V8" s="58"/>
      <c r="W8" s="58"/>
      <c r="X8" s="58"/>
      <c r="Y8" s="58"/>
      <c r="Z8" s="59"/>
      <c r="AA8" s="59"/>
      <c r="AB8" s="58"/>
      <c r="AC8" s="58"/>
      <c r="AD8" s="60"/>
      <c r="AE8" s="61"/>
    </row>
    <row r="9" spans="1:16128" ht="21.75" customHeight="1" x14ac:dyDescent="0.3">
      <c r="A9" s="6" t="s">
        <v>64</v>
      </c>
      <c r="B9" s="11" t="s">
        <v>65</v>
      </c>
      <c r="C9" s="11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6" t="s">
        <v>72</v>
      </c>
      <c r="J9" s="6" t="s">
        <v>73</v>
      </c>
      <c r="K9" s="6" t="s">
        <v>74</v>
      </c>
      <c r="L9" s="6" t="s">
        <v>75</v>
      </c>
      <c r="M9" s="6" t="s">
        <v>76</v>
      </c>
      <c r="N9" s="6" t="s">
        <v>77</v>
      </c>
      <c r="O9" s="15" t="s">
        <v>78</v>
      </c>
      <c r="P9" s="15" t="s">
        <v>79</v>
      </c>
      <c r="Q9" s="15" t="s">
        <v>80</v>
      </c>
      <c r="R9" s="15" t="s">
        <v>81</v>
      </c>
      <c r="S9" s="15" t="s">
        <v>82</v>
      </c>
      <c r="T9" s="15" t="s">
        <v>83</v>
      </c>
      <c r="U9" s="22" t="s">
        <v>84</v>
      </c>
      <c r="V9" s="15" t="s">
        <v>85</v>
      </c>
      <c r="W9" s="15" t="s">
        <v>86</v>
      </c>
      <c r="X9" s="15" t="s">
        <v>87</v>
      </c>
      <c r="Y9" s="15" t="s">
        <v>88</v>
      </c>
      <c r="Z9" s="22" t="s">
        <v>89</v>
      </c>
      <c r="AA9" s="22" t="s">
        <v>90</v>
      </c>
      <c r="AB9" s="15" t="s">
        <v>91</v>
      </c>
      <c r="AC9" s="15" t="s">
        <v>92</v>
      </c>
      <c r="AD9" s="18" t="e">
        <f t="shared" ref="AD9:AD12" si="0">$O$4*O9+$P$4*P9+$Q$4*Q9+$R$4*R9+$S$4*S9+$T$4*T9+$U$4*U9+$V$4*V9+$W$4*W9+$X$4*X9+$Y$4*Y9+$Z$4*Z9+$AA$4*AA9+$AB$4*AB9+$AC$4*AC9</f>
        <v>#VALUE!</v>
      </c>
      <c r="AE9" s="3" t="s">
        <v>97</v>
      </c>
    </row>
    <row r="10" spans="1:16128" ht="21.75" customHeight="1" x14ac:dyDescent="0.3">
      <c r="A10" s="55" t="s">
        <v>95</v>
      </c>
      <c r="B10" s="56" t="s">
        <v>96</v>
      </c>
      <c r="C10" s="55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8"/>
      <c r="P10" s="58"/>
      <c r="Q10" s="58"/>
      <c r="R10" s="58"/>
      <c r="S10" s="58"/>
      <c r="T10" s="58"/>
      <c r="U10" s="59"/>
      <c r="V10" s="58"/>
      <c r="W10" s="58"/>
      <c r="X10" s="58"/>
      <c r="Y10" s="58"/>
      <c r="Z10" s="59"/>
      <c r="AA10" s="59"/>
      <c r="AB10" s="58"/>
      <c r="AC10" s="58"/>
      <c r="AD10" s="18"/>
      <c r="AE10" s="4"/>
    </row>
    <row r="11" spans="1:16128" ht="21.75" customHeight="1" x14ac:dyDescent="0.3">
      <c r="A11" s="24">
        <v>3</v>
      </c>
      <c r="B11" s="25">
        <f>VLOOKUP(C11,'[1]DHTĐ cấp Trường'!C$5:D$753,2,0)</f>
        <v>1044</v>
      </c>
      <c r="C11" s="26" t="s">
        <v>9</v>
      </c>
      <c r="D11" s="27" t="s">
        <v>22</v>
      </c>
      <c r="E11" s="27" t="s">
        <v>8</v>
      </c>
      <c r="F11" s="27" t="s">
        <v>29</v>
      </c>
      <c r="G11" s="27">
        <v>2</v>
      </c>
      <c r="H11" s="27">
        <v>2.67</v>
      </c>
      <c r="I11" s="27">
        <v>3</v>
      </c>
      <c r="J11" s="27">
        <v>2022</v>
      </c>
      <c r="K11" s="27">
        <f t="shared" ref="K11" si="1">+G11+1</f>
        <v>3</v>
      </c>
      <c r="L11" s="27">
        <v>3</v>
      </c>
      <c r="M11" s="27"/>
      <c r="N11" s="27"/>
      <c r="O11" s="28">
        <f>VLOOKUP(B11,'[1]DHTĐ cấp Trường'!D$5:BI$753,53,0)</f>
        <v>2</v>
      </c>
      <c r="P11" s="28">
        <f>VLOOKUP(B11,'[1]DHTĐ cấp Trường'!D$5:BI$753,58,0)</f>
        <v>0</v>
      </c>
      <c r="Q11" s="28">
        <f>VLOOKUP(B11,'[1]DHTĐ cấp Trường'!D$5:BI$753,54,0)</f>
        <v>0</v>
      </c>
      <c r="R11" s="28">
        <f>VLOOKUP(B11,'[2]DS xếp loại A1'!E$8:L$128,8,0)</f>
        <v>1</v>
      </c>
      <c r="S11" s="28">
        <f>VLOOKUP(B11,'[1]DHTĐ cấp Trường'!D$5:BI$753,52,0)</f>
        <v>0</v>
      </c>
      <c r="T11" s="28">
        <f>VLOOKUP(B11,'[1]BẬC CAO 05.11.2024'!E$5:IS$754,244,0)</f>
        <v>0</v>
      </c>
      <c r="U11" s="28"/>
      <c r="V11" s="28">
        <f>VLOOKUP(B11,'[1]BẬC CAO 05.11.2024'!E$5:IS$754,249,0)</f>
        <v>0</v>
      </c>
      <c r="W11" s="28">
        <f>VLOOKUP(B11,'[1]BẬC CAO 05.11.2024'!E$5:IS$754,240,0)</f>
        <v>0</v>
      </c>
      <c r="X11" s="28">
        <f>VLOOKUP(B11,'[1]BẬC CAO 05.11.2024'!E$5:IS$754,246,0)</f>
        <v>0</v>
      </c>
      <c r="Y11" s="28">
        <f>VLOOKUP(B11,'[1]BẬC CAO 05.11.2024'!E$5:IS$754,241,0)</f>
        <v>0</v>
      </c>
      <c r="Z11" s="28"/>
      <c r="AA11" s="28"/>
      <c r="AB11" s="28">
        <f>VLOOKUP(B11,'[1]BẬC CAO 05.11.2024'!E$5:IS$754,243,0)</f>
        <v>0</v>
      </c>
      <c r="AC11" s="28">
        <f>VLOOKUP(B11,'[1]BẬC CAO 05.11.2024'!E$5:IS$754,242,0)</f>
        <v>0</v>
      </c>
      <c r="AD11" s="29">
        <f t="shared" si="0"/>
        <v>1.1000000000000001</v>
      </c>
      <c r="AE11" s="30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31"/>
      <c r="SK11" s="31"/>
      <c r="SL11" s="31"/>
      <c r="SM11" s="31"/>
      <c r="SN11" s="31"/>
      <c r="SO11" s="31"/>
      <c r="SP11" s="31"/>
      <c r="SQ11" s="31"/>
      <c r="SR11" s="31"/>
      <c r="SS11" s="31"/>
      <c r="ST11" s="31"/>
      <c r="SU11" s="31"/>
      <c r="SV11" s="31"/>
      <c r="SW11" s="31"/>
      <c r="SX11" s="31"/>
      <c r="SY11" s="31"/>
      <c r="SZ11" s="31"/>
      <c r="TA11" s="31"/>
      <c r="TB11" s="31"/>
      <c r="TC11" s="31"/>
      <c r="TD11" s="31"/>
      <c r="TE11" s="31"/>
      <c r="TF11" s="31"/>
      <c r="TG11" s="31"/>
      <c r="TH11" s="31"/>
      <c r="TI11" s="31"/>
      <c r="TJ11" s="31"/>
      <c r="TK11" s="31"/>
      <c r="TL11" s="31"/>
      <c r="TM11" s="31"/>
      <c r="TN11" s="31"/>
      <c r="TO11" s="31"/>
      <c r="TP11" s="31"/>
      <c r="TQ11" s="31"/>
      <c r="TR11" s="31"/>
      <c r="TS11" s="31"/>
      <c r="TT11" s="31"/>
      <c r="TU11" s="31"/>
      <c r="TV11" s="31"/>
      <c r="TW11" s="31"/>
      <c r="TX11" s="31"/>
      <c r="TY11" s="31"/>
      <c r="TZ11" s="31"/>
      <c r="UA11" s="31"/>
      <c r="UB11" s="31"/>
      <c r="UC11" s="31"/>
      <c r="UD11" s="31"/>
      <c r="UE11" s="31"/>
      <c r="UF11" s="31"/>
      <c r="UG11" s="31"/>
      <c r="UH11" s="31"/>
      <c r="UI11" s="31"/>
      <c r="UJ11" s="31"/>
      <c r="UK11" s="31"/>
      <c r="UL11" s="31"/>
      <c r="UM11" s="31"/>
      <c r="UN11" s="31"/>
      <c r="UO11" s="31"/>
      <c r="UP11" s="31"/>
      <c r="UQ11" s="31"/>
      <c r="UR11" s="31"/>
      <c r="US11" s="31"/>
      <c r="UT11" s="31"/>
      <c r="UU11" s="31"/>
      <c r="UV11" s="31"/>
      <c r="UW11" s="31"/>
      <c r="UX11" s="31"/>
      <c r="UY11" s="31"/>
      <c r="UZ11" s="31"/>
      <c r="VA11" s="31"/>
      <c r="VB11" s="31"/>
      <c r="VC11" s="31"/>
      <c r="VD11" s="31"/>
      <c r="VE11" s="31"/>
      <c r="VF11" s="31"/>
      <c r="VG11" s="31"/>
      <c r="VH11" s="31"/>
      <c r="VI11" s="31"/>
      <c r="VJ11" s="31"/>
      <c r="VK11" s="31"/>
      <c r="VL11" s="31"/>
      <c r="VM11" s="31"/>
      <c r="VN11" s="31"/>
      <c r="VO11" s="31"/>
      <c r="VP11" s="31"/>
      <c r="VQ11" s="31"/>
      <c r="VR11" s="31"/>
      <c r="VS11" s="31"/>
      <c r="VT11" s="31"/>
      <c r="VU11" s="31"/>
      <c r="VV11" s="31"/>
      <c r="VW11" s="31"/>
      <c r="VX11" s="31"/>
      <c r="VY11" s="31"/>
      <c r="VZ11" s="31"/>
      <c r="WA11" s="31"/>
      <c r="WB11" s="31"/>
      <c r="WC11" s="31"/>
      <c r="WD11" s="31"/>
      <c r="WE11" s="31"/>
      <c r="WF11" s="31"/>
      <c r="WG11" s="31"/>
      <c r="WH11" s="31"/>
      <c r="WI11" s="31"/>
      <c r="WJ11" s="31"/>
      <c r="WK11" s="31"/>
      <c r="WL11" s="31"/>
      <c r="WM11" s="31"/>
      <c r="WN11" s="31"/>
      <c r="WO11" s="31"/>
      <c r="WP11" s="31"/>
      <c r="WQ11" s="31"/>
      <c r="WR11" s="31"/>
      <c r="WS11" s="31"/>
      <c r="WT11" s="31"/>
      <c r="WU11" s="31"/>
      <c r="WV11" s="31"/>
      <c r="WW11" s="31"/>
      <c r="WX11" s="31"/>
      <c r="WY11" s="31"/>
      <c r="WZ11" s="31"/>
      <c r="XA11" s="31"/>
      <c r="XB11" s="31"/>
      <c r="XC11" s="31"/>
      <c r="XD11" s="31"/>
      <c r="XE11" s="31"/>
      <c r="XF11" s="31"/>
      <c r="XG11" s="31"/>
      <c r="XH11" s="31"/>
      <c r="XI11" s="31"/>
      <c r="XJ11" s="31"/>
      <c r="XK11" s="31"/>
      <c r="XL11" s="31"/>
      <c r="XM11" s="31"/>
      <c r="XN11" s="31"/>
      <c r="XO11" s="31"/>
      <c r="XP11" s="31"/>
      <c r="XQ11" s="31"/>
      <c r="XR11" s="31"/>
      <c r="XS11" s="31"/>
      <c r="XT11" s="31"/>
      <c r="XU11" s="31"/>
      <c r="XV11" s="31"/>
      <c r="XW11" s="31"/>
      <c r="XX11" s="31"/>
      <c r="XY11" s="31"/>
      <c r="XZ11" s="31"/>
      <c r="YA11" s="31"/>
      <c r="YB11" s="31"/>
      <c r="YC11" s="31"/>
      <c r="YD11" s="31"/>
      <c r="YE11" s="31"/>
      <c r="YF11" s="31"/>
      <c r="YG11" s="31"/>
      <c r="YH11" s="31"/>
      <c r="YI11" s="31"/>
      <c r="YJ11" s="31"/>
      <c r="YK11" s="31"/>
      <c r="YL11" s="31"/>
      <c r="YM11" s="31"/>
      <c r="YN11" s="31"/>
      <c r="YO11" s="31"/>
      <c r="YP11" s="31"/>
      <c r="YQ11" s="31"/>
      <c r="YR11" s="31"/>
      <c r="YS11" s="31"/>
      <c r="YT11" s="31"/>
      <c r="YU11" s="31"/>
      <c r="YV11" s="31"/>
      <c r="YW11" s="31"/>
      <c r="YX11" s="31"/>
      <c r="YY11" s="31"/>
      <c r="YZ11" s="31"/>
      <c r="ZA11" s="31"/>
      <c r="ZB11" s="31"/>
      <c r="ZC11" s="31"/>
      <c r="ZD11" s="31"/>
      <c r="ZE11" s="31"/>
      <c r="ZF11" s="31"/>
      <c r="ZG11" s="31"/>
      <c r="ZH11" s="31"/>
      <c r="ZI11" s="31"/>
      <c r="ZJ11" s="31"/>
      <c r="ZK11" s="31"/>
      <c r="ZL11" s="31"/>
      <c r="ZM11" s="31"/>
      <c r="ZN11" s="31"/>
      <c r="ZO11" s="31"/>
      <c r="ZP11" s="31"/>
      <c r="ZQ11" s="31"/>
      <c r="ZR11" s="31"/>
      <c r="ZS11" s="31"/>
      <c r="ZT11" s="31"/>
      <c r="ZU11" s="31"/>
      <c r="ZV11" s="31"/>
      <c r="ZW11" s="31"/>
      <c r="ZX11" s="31"/>
      <c r="ZY11" s="31"/>
      <c r="ZZ11" s="31"/>
      <c r="AAA11" s="31"/>
      <c r="AAB11" s="31"/>
      <c r="AAC11" s="31"/>
      <c r="AAD11" s="31"/>
      <c r="AAE11" s="31"/>
      <c r="AAF11" s="31"/>
      <c r="AAG11" s="31"/>
      <c r="AAH11" s="31"/>
      <c r="AAI11" s="31"/>
      <c r="AAJ11" s="31"/>
      <c r="AAK11" s="31"/>
      <c r="AAL11" s="31"/>
      <c r="AAM11" s="31"/>
      <c r="AAN11" s="31"/>
      <c r="AAO11" s="31"/>
      <c r="AAP11" s="31"/>
      <c r="AAQ11" s="31"/>
      <c r="AAR11" s="31"/>
      <c r="AAS11" s="31"/>
      <c r="AAT11" s="31"/>
      <c r="AAU11" s="31"/>
      <c r="AAV11" s="31"/>
      <c r="AAW11" s="31"/>
      <c r="AAX11" s="31"/>
      <c r="AAY11" s="31"/>
      <c r="AAZ11" s="31"/>
      <c r="ABA11" s="31"/>
      <c r="ABB11" s="31"/>
      <c r="ABC11" s="31"/>
      <c r="ABD11" s="31"/>
      <c r="ABE11" s="31"/>
      <c r="ABF11" s="31"/>
      <c r="ABG11" s="31"/>
      <c r="ABH11" s="31"/>
      <c r="ABI11" s="31"/>
      <c r="ABJ11" s="31"/>
      <c r="ABK11" s="31"/>
      <c r="ABL11" s="31"/>
      <c r="ABM11" s="31"/>
      <c r="ABN11" s="31"/>
      <c r="ABO11" s="31"/>
      <c r="ABP11" s="31"/>
      <c r="ABQ11" s="31"/>
      <c r="ABR11" s="31"/>
      <c r="ABS11" s="31"/>
      <c r="ABT11" s="31"/>
      <c r="ABU11" s="31"/>
      <c r="ABV11" s="31"/>
      <c r="ABW11" s="31"/>
      <c r="ABX11" s="31"/>
      <c r="ABY11" s="31"/>
      <c r="ABZ11" s="31"/>
      <c r="ACA11" s="31"/>
      <c r="ACB11" s="31"/>
      <c r="ACC11" s="31"/>
      <c r="ACD11" s="31"/>
      <c r="ACE11" s="31"/>
      <c r="ACF11" s="31"/>
      <c r="ACG11" s="31"/>
      <c r="ACH11" s="31"/>
      <c r="ACI11" s="31"/>
      <c r="ACJ11" s="31"/>
      <c r="ACK11" s="31"/>
      <c r="ACL11" s="31"/>
      <c r="ACM11" s="31"/>
      <c r="ACN11" s="31"/>
      <c r="ACO11" s="31"/>
      <c r="ACP11" s="31"/>
      <c r="ACQ11" s="31"/>
      <c r="ACR11" s="31"/>
      <c r="ACS11" s="31"/>
      <c r="ACT11" s="31"/>
      <c r="ACU11" s="31"/>
      <c r="ACV11" s="31"/>
      <c r="ACW11" s="31"/>
      <c r="ACX11" s="31"/>
      <c r="ACY11" s="31"/>
      <c r="ACZ11" s="31"/>
      <c r="ADA11" s="31"/>
      <c r="ADB11" s="31"/>
      <c r="ADC11" s="31"/>
      <c r="ADD11" s="31"/>
      <c r="ADE11" s="31"/>
      <c r="ADF11" s="31"/>
      <c r="ADG11" s="31"/>
      <c r="ADH11" s="31"/>
      <c r="ADI11" s="31"/>
      <c r="ADJ11" s="31"/>
      <c r="ADK11" s="31"/>
      <c r="ADL11" s="31"/>
      <c r="ADM11" s="31"/>
      <c r="ADN11" s="31"/>
      <c r="ADO11" s="31"/>
      <c r="ADP11" s="31"/>
      <c r="ADQ11" s="31"/>
      <c r="ADR11" s="31"/>
      <c r="ADS11" s="31"/>
      <c r="ADT11" s="31"/>
      <c r="ADU11" s="31"/>
      <c r="ADV11" s="31"/>
      <c r="ADW11" s="31"/>
      <c r="ADX11" s="31"/>
      <c r="ADY11" s="31"/>
      <c r="ADZ11" s="31"/>
      <c r="AEA11" s="31"/>
      <c r="AEB11" s="31"/>
      <c r="AEC11" s="31"/>
      <c r="AED11" s="31"/>
      <c r="AEE11" s="31"/>
      <c r="AEF11" s="31"/>
      <c r="AEG11" s="31"/>
      <c r="AEH11" s="31"/>
      <c r="AEI11" s="31"/>
      <c r="AEJ11" s="31"/>
      <c r="AEK11" s="31"/>
      <c r="AEL11" s="31"/>
      <c r="AEM11" s="31"/>
      <c r="AEN11" s="31"/>
      <c r="AEO11" s="31"/>
      <c r="AEP11" s="31"/>
      <c r="AEQ11" s="31"/>
      <c r="AER11" s="31"/>
      <c r="AES11" s="31"/>
      <c r="AET11" s="31"/>
      <c r="AEU11" s="31"/>
      <c r="AEV11" s="31"/>
      <c r="AEW11" s="31"/>
      <c r="AEX11" s="31"/>
      <c r="AEY11" s="31"/>
      <c r="AEZ11" s="31"/>
      <c r="AFA11" s="31"/>
      <c r="AFB11" s="31"/>
      <c r="AFC11" s="31"/>
      <c r="AFD11" s="31"/>
      <c r="AFE11" s="31"/>
      <c r="AFF11" s="31"/>
      <c r="AFG11" s="31"/>
      <c r="AFH11" s="31"/>
      <c r="AFI11" s="31"/>
      <c r="AFJ11" s="31"/>
      <c r="AFK11" s="31"/>
      <c r="AFL11" s="31"/>
      <c r="AFM11" s="31"/>
      <c r="AFN11" s="31"/>
      <c r="AFO11" s="31"/>
      <c r="AFP11" s="31"/>
      <c r="AFQ11" s="31"/>
      <c r="AFR11" s="31"/>
      <c r="AFS11" s="31"/>
      <c r="AFT11" s="31"/>
      <c r="AFU11" s="31"/>
      <c r="AFV11" s="31"/>
      <c r="AFW11" s="31"/>
      <c r="AFX11" s="31"/>
      <c r="AFY11" s="31"/>
      <c r="AFZ11" s="31"/>
      <c r="AGA11" s="31"/>
      <c r="AGB11" s="31"/>
      <c r="AGC11" s="31"/>
      <c r="AGD11" s="31"/>
      <c r="AGE11" s="31"/>
      <c r="AGF11" s="31"/>
      <c r="AGG11" s="31"/>
      <c r="AGH11" s="31"/>
      <c r="AGI11" s="31"/>
      <c r="AGJ11" s="31"/>
      <c r="AGK11" s="31"/>
      <c r="AGL11" s="31"/>
      <c r="AGM11" s="31"/>
      <c r="AGN11" s="31"/>
      <c r="AGO11" s="31"/>
      <c r="AGP11" s="31"/>
      <c r="AGQ11" s="31"/>
      <c r="AGR11" s="31"/>
      <c r="AGS11" s="31"/>
      <c r="AGT11" s="31"/>
      <c r="AGU11" s="31"/>
      <c r="AGV11" s="31"/>
      <c r="AGW11" s="31"/>
      <c r="AGX11" s="31"/>
      <c r="AGY11" s="31"/>
      <c r="AGZ11" s="31"/>
      <c r="AHA11" s="31"/>
      <c r="AHB11" s="31"/>
      <c r="AHC11" s="31"/>
      <c r="AHD11" s="31"/>
      <c r="AHE11" s="31"/>
      <c r="AHF11" s="31"/>
      <c r="AHG11" s="31"/>
      <c r="AHH11" s="31"/>
      <c r="AHI11" s="31"/>
      <c r="AHJ11" s="31"/>
      <c r="AHK11" s="31"/>
      <c r="AHL11" s="31"/>
      <c r="AHM11" s="31"/>
      <c r="AHN11" s="31"/>
      <c r="AHO11" s="31"/>
      <c r="AHP11" s="31"/>
      <c r="AHQ11" s="31"/>
      <c r="AHR11" s="31"/>
      <c r="AHS11" s="31"/>
      <c r="AHT11" s="31"/>
      <c r="AHU11" s="31"/>
      <c r="AHV11" s="31"/>
      <c r="AHW11" s="31"/>
      <c r="AHX11" s="31"/>
      <c r="AHY11" s="31"/>
      <c r="AHZ11" s="31"/>
      <c r="AIA11" s="31"/>
      <c r="AIB11" s="31"/>
      <c r="AIC11" s="31"/>
      <c r="AID11" s="31"/>
      <c r="AIE11" s="31"/>
      <c r="AIF11" s="31"/>
      <c r="AIG11" s="31"/>
      <c r="AIH11" s="31"/>
      <c r="AII11" s="31"/>
      <c r="AIJ11" s="31"/>
      <c r="AIK11" s="31"/>
      <c r="AIL11" s="31"/>
      <c r="AIM11" s="31"/>
      <c r="AIN11" s="31"/>
      <c r="AIO11" s="31"/>
      <c r="AIP11" s="31"/>
      <c r="AIQ11" s="31"/>
      <c r="AIR11" s="31"/>
      <c r="AIS11" s="31"/>
      <c r="AIT11" s="31"/>
      <c r="AIU11" s="31"/>
      <c r="AIV11" s="31"/>
      <c r="AIW11" s="31"/>
      <c r="AIX11" s="31"/>
      <c r="AIY11" s="31"/>
      <c r="AIZ11" s="31"/>
      <c r="AJA11" s="31"/>
      <c r="AJB11" s="31"/>
      <c r="AJC11" s="31"/>
      <c r="AJD11" s="31"/>
      <c r="AJE11" s="31"/>
      <c r="AJF11" s="31"/>
      <c r="AJG11" s="31"/>
      <c r="AJH11" s="31"/>
      <c r="AJI11" s="31"/>
      <c r="AJJ11" s="31"/>
      <c r="AJK11" s="31"/>
      <c r="AJL11" s="31"/>
      <c r="AJM11" s="31"/>
      <c r="AJN11" s="31"/>
      <c r="AJO11" s="31"/>
      <c r="AJP11" s="31"/>
      <c r="AJQ11" s="31"/>
      <c r="AJR11" s="31"/>
      <c r="AJS11" s="31"/>
      <c r="AJT11" s="31"/>
      <c r="AJU11" s="31"/>
      <c r="AJV11" s="31"/>
      <c r="AJW11" s="31"/>
      <c r="AJX11" s="31"/>
      <c r="AJY11" s="31"/>
      <c r="AJZ11" s="31"/>
      <c r="AKA11" s="31"/>
      <c r="AKB11" s="31"/>
      <c r="AKC11" s="31"/>
      <c r="AKD11" s="31"/>
      <c r="AKE11" s="31"/>
      <c r="AKF11" s="31"/>
      <c r="AKG11" s="31"/>
      <c r="AKH11" s="31"/>
      <c r="AKI11" s="31"/>
      <c r="AKJ11" s="31"/>
      <c r="AKK11" s="31"/>
      <c r="AKL11" s="31"/>
      <c r="AKM11" s="31"/>
      <c r="AKN11" s="31"/>
      <c r="AKO11" s="31"/>
      <c r="AKP11" s="31"/>
      <c r="AKQ11" s="31"/>
      <c r="AKR11" s="31"/>
      <c r="AKS11" s="31"/>
      <c r="AKT11" s="31"/>
      <c r="AKU11" s="31"/>
      <c r="AKV11" s="31"/>
      <c r="AKW11" s="31"/>
      <c r="AKX11" s="31"/>
      <c r="AKY11" s="31"/>
      <c r="AKZ11" s="31"/>
      <c r="ALA11" s="31"/>
      <c r="ALB11" s="31"/>
      <c r="ALC11" s="31"/>
      <c r="ALD11" s="31"/>
      <c r="ALE11" s="31"/>
      <c r="ALF11" s="31"/>
      <c r="ALG11" s="31"/>
      <c r="ALH11" s="31"/>
      <c r="ALI11" s="31"/>
      <c r="ALJ11" s="31"/>
      <c r="ALK11" s="31"/>
      <c r="ALL11" s="31"/>
      <c r="ALM11" s="31"/>
      <c r="ALN11" s="31"/>
      <c r="ALO11" s="31"/>
      <c r="ALP11" s="31"/>
      <c r="ALQ11" s="31"/>
      <c r="ALR11" s="31"/>
      <c r="ALS11" s="31"/>
      <c r="ALT11" s="31"/>
      <c r="ALU11" s="31"/>
      <c r="ALV11" s="31"/>
      <c r="ALW11" s="31"/>
      <c r="ALX11" s="31"/>
      <c r="ALY11" s="31"/>
      <c r="ALZ11" s="31"/>
      <c r="AMA11" s="31"/>
      <c r="AMB11" s="31"/>
      <c r="AMC11" s="31"/>
      <c r="AMD11" s="31"/>
      <c r="AME11" s="31"/>
      <c r="AMF11" s="31"/>
      <c r="AMG11" s="31"/>
      <c r="AMH11" s="31"/>
      <c r="AMI11" s="31"/>
      <c r="AMJ11" s="31"/>
      <c r="AMK11" s="31"/>
      <c r="AML11" s="31"/>
      <c r="AMM11" s="31"/>
      <c r="AMN11" s="31"/>
      <c r="AMO11" s="31"/>
      <c r="AMP11" s="31"/>
      <c r="AMQ11" s="31"/>
      <c r="AMR11" s="31"/>
      <c r="AMS11" s="31"/>
      <c r="AMT11" s="31"/>
      <c r="AMU11" s="31"/>
      <c r="AMV11" s="31"/>
      <c r="AMW11" s="31"/>
      <c r="AMX11" s="31"/>
      <c r="AMY11" s="31"/>
      <c r="AMZ11" s="31"/>
      <c r="ANA11" s="31"/>
      <c r="ANB11" s="31"/>
      <c r="ANC11" s="31"/>
      <c r="AND11" s="31"/>
      <c r="ANE11" s="31"/>
      <c r="ANF11" s="31"/>
      <c r="ANG11" s="31"/>
      <c r="ANH11" s="31"/>
      <c r="ANI11" s="31"/>
      <c r="ANJ11" s="31"/>
      <c r="ANK11" s="31"/>
      <c r="ANL11" s="31"/>
      <c r="ANM11" s="31"/>
      <c r="ANN11" s="31"/>
      <c r="ANO11" s="31"/>
      <c r="ANP11" s="31"/>
      <c r="ANQ11" s="31"/>
      <c r="ANR11" s="31"/>
      <c r="ANS11" s="31"/>
      <c r="ANT11" s="31"/>
      <c r="ANU11" s="31"/>
      <c r="ANV11" s="31"/>
      <c r="ANW11" s="31"/>
      <c r="ANX11" s="31"/>
      <c r="ANY11" s="31"/>
      <c r="ANZ11" s="31"/>
      <c r="AOA11" s="31"/>
      <c r="AOB11" s="31"/>
      <c r="AOC11" s="31"/>
      <c r="AOD11" s="31"/>
      <c r="AOE11" s="31"/>
      <c r="AOF11" s="31"/>
      <c r="AOG11" s="31"/>
      <c r="AOH11" s="31"/>
      <c r="AOI11" s="31"/>
      <c r="AOJ11" s="31"/>
      <c r="AOK11" s="31"/>
      <c r="AOL11" s="31"/>
      <c r="AOM11" s="31"/>
      <c r="AON11" s="31"/>
      <c r="AOO11" s="31"/>
      <c r="AOP11" s="31"/>
      <c r="AOQ11" s="31"/>
      <c r="AOR11" s="31"/>
      <c r="AOS11" s="31"/>
      <c r="AOT11" s="31"/>
      <c r="AOU11" s="31"/>
      <c r="AOV11" s="31"/>
      <c r="AOW11" s="31"/>
      <c r="AOX11" s="31"/>
      <c r="AOY11" s="31"/>
      <c r="AOZ11" s="31"/>
      <c r="APA11" s="31"/>
      <c r="APB11" s="31"/>
      <c r="APC11" s="31"/>
      <c r="APD11" s="31"/>
      <c r="APE11" s="31"/>
      <c r="APF11" s="31"/>
      <c r="APG11" s="31"/>
      <c r="APH11" s="31"/>
      <c r="API11" s="31"/>
      <c r="APJ11" s="31"/>
      <c r="APK11" s="31"/>
      <c r="APL11" s="31"/>
      <c r="APM11" s="31"/>
      <c r="APN11" s="31"/>
      <c r="APO11" s="31"/>
      <c r="APP11" s="31"/>
      <c r="APQ11" s="31"/>
      <c r="APR11" s="31"/>
      <c r="APS11" s="31"/>
      <c r="APT11" s="31"/>
      <c r="APU11" s="31"/>
      <c r="APV11" s="31"/>
      <c r="APW11" s="31"/>
      <c r="APX11" s="31"/>
      <c r="APY11" s="31"/>
      <c r="APZ11" s="31"/>
      <c r="AQA11" s="31"/>
      <c r="AQB11" s="31"/>
      <c r="AQC11" s="31"/>
      <c r="AQD11" s="31"/>
      <c r="AQE11" s="31"/>
      <c r="AQF11" s="31"/>
      <c r="AQG11" s="31"/>
      <c r="AQH11" s="31"/>
      <c r="AQI11" s="31"/>
      <c r="AQJ11" s="31"/>
      <c r="AQK11" s="31"/>
      <c r="AQL11" s="31"/>
      <c r="AQM11" s="31"/>
      <c r="AQN11" s="31"/>
      <c r="AQO11" s="31"/>
      <c r="AQP11" s="31"/>
      <c r="AQQ11" s="31"/>
      <c r="AQR11" s="31"/>
      <c r="AQS11" s="31"/>
      <c r="AQT11" s="31"/>
      <c r="AQU11" s="31"/>
      <c r="AQV11" s="31"/>
      <c r="AQW11" s="31"/>
      <c r="AQX11" s="31"/>
      <c r="AQY11" s="31"/>
      <c r="AQZ11" s="31"/>
      <c r="ARA11" s="31"/>
      <c r="ARB11" s="31"/>
      <c r="ARC11" s="31"/>
      <c r="ARD11" s="31"/>
      <c r="ARE11" s="31"/>
      <c r="ARF11" s="31"/>
      <c r="ARG11" s="31"/>
      <c r="ARH11" s="31"/>
      <c r="ARI11" s="31"/>
      <c r="ARJ11" s="31"/>
      <c r="ARK11" s="31"/>
      <c r="ARL11" s="31"/>
      <c r="ARM11" s="31"/>
      <c r="ARN11" s="31"/>
      <c r="ARO11" s="31"/>
      <c r="ARP11" s="31"/>
      <c r="ARQ11" s="31"/>
      <c r="ARR11" s="31"/>
      <c r="ARS11" s="31"/>
      <c r="ART11" s="31"/>
      <c r="ARU11" s="31"/>
      <c r="ARV11" s="31"/>
      <c r="ARW11" s="31"/>
      <c r="ARX11" s="31"/>
      <c r="ARY11" s="31"/>
      <c r="ARZ11" s="31"/>
      <c r="ASA11" s="31"/>
      <c r="ASB11" s="31"/>
      <c r="ASC11" s="31"/>
      <c r="ASD11" s="31"/>
      <c r="ASE11" s="31"/>
      <c r="ASF11" s="31"/>
      <c r="ASG11" s="31"/>
      <c r="ASH11" s="31"/>
      <c r="ASI11" s="31"/>
      <c r="ASJ11" s="31"/>
      <c r="ASK11" s="31"/>
      <c r="ASL11" s="31"/>
      <c r="ASM11" s="31"/>
      <c r="ASN11" s="31"/>
      <c r="ASO11" s="31"/>
      <c r="ASP11" s="31"/>
      <c r="ASQ11" s="31"/>
      <c r="ASR11" s="31"/>
      <c r="ASS11" s="31"/>
      <c r="AST11" s="31"/>
      <c r="ASU11" s="31"/>
      <c r="ASV11" s="31"/>
      <c r="ASW11" s="31"/>
      <c r="ASX11" s="31"/>
      <c r="ASY11" s="31"/>
      <c r="ASZ11" s="31"/>
      <c r="ATA11" s="31"/>
      <c r="ATB11" s="31"/>
      <c r="ATC11" s="31"/>
      <c r="ATD11" s="31"/>
      <c r="ATE11" s="31"/>
      <c r="ATF11" s="31"/>
      <c r="ATG11" s="31"/>
      <c r="ATH11" s="31"/>
      <c r="ATI11" s="31"/>
      <c r="ATJ11" s="31"/>
      <c r="ATK11" s="31"/>
      <c r="ATL11" s="31"/>
      <c r="ATM11" s="31"/>
      <c r="ATN11" s="31"/>
      <c r="ATO11" s="31"/>
      <c r="ATP11" s="31"/>
      <c r="ATQ11" s="31"/>
      <c r="ATR11" s="31"/>
      <c r="ATS11" s="31"/>
      <c r="ATT11" s="31"/>
      <c r="ATU11" s="31"/>
      <c r="ATV11" s="31"/>
      <c r="ATW11" s="31"/>
      <c r="ATX11" s="31"/>
      <c r="ATY11" s="31"/>
      <c r="ATZ11" s="31"/>
      <c r="AUA11" s="31"/>
      <c r="AUB11" s="31"/>
      <c r="AUC11" s="31"/>
      <c r="AUD11" s="31"/>
      <c r="AUE11" s="31"/>
      <c r="AUF11" s="31"/>
      <c r="AUG11" s="31"/>
      <c r="AUH11" s="31"/>
      <c r="AUI11" s="31"/>
      <c r="AUJ11" s="31"/>
      <c r="AUK11" s="31"/>
      <c r="AUL11" s="31"/>
      <c r="AUM11" s="31"/>
      <c r="AUN11" s="31"/>
      <c r="AUO11" s="31"/>
      <c r="AUP11" s="31"/>
      <c r="AUQ11" s="31"/>
      <c r="AUR11" s="31"/>
      <c r="AUS11" s="31"/>
      <c r="AUT11" s="31"/>
      <c r="AUU11" s="31"/>
      <c r="AUV11" s="31"/>
      <c r="AUW11" s="31"/>
      <c r="AUX11" s="31"/>
      <c r="AUY11" s="31"/>
      <c r="AUZ11" s="31"/>
      <c r="AVA11" s="31"/>
      <c r="AVB11" s="31"/>
      <c r="AVC11" s="31"/>
      <c r="AVD11" s="31"/>
      <c r="AVE11" s="31"/>
      <c r="AVF11" s="31"/>
      <c r="AVG11" s="31"/>
      <c r="AVH11" s="31"/>
      <c r="AVI11" s="31"/>
      <c r="AVJ11" s="31"/>
      <c r="AVK11" s="31"/>
      <c r="AVL11" s="31"/>
      <c r="AVM11" s="31"/>
      <c r="AVN11" s="31"/>
      <c r="AVO11" s="31"/>
      <c r="AVP11" s="31"/>
      <c r="AVQ11" s="31"/>
      <c r="AVR11" s="31"/>
      <c r="AVS11" s="31"/>
      <c r="AVT11" s="31"/>
      <c r="AVU11" s="31"/>
      <c r="AVV11" s="31"/>
      <c r="AVW11" s="31"/>
      <c r="AVX11" s="31"/>
      <c r="AVY11" s="31"/>
      <c r="AVZ11" s="31"/>
      <c r="AWA11" s="31"/>
      <c r="AWB11" s="31"/>
      <c r="AWC11" s="31"/>
      <c r="AWD11" s="31"/>
      <c r="AWE11" s="31"/>
      <c r="AWF11" s="31"/>
      <c r="AWG11" s="31"/>
      <c r="AWH11" s="31"/>
      <c r="AWI11" s="31"/>
      <c r="AWJ11" s="31"/>
      <c r="AWK11" s="31"/>
      <c r="AWL11" s="31"/>
      <c r="AWM11" s="31"/>
      <c r="AWN11" s="31"/>
      <c r="AWO11" s="31"/>
      <c r="AWP11" s="31"/>
      <c r="AWQ11" s="31"/>
      <c r="AWR11" s="31"/>
      <c r="AWS11" s="31"/>
      <c r="AWT11" s="31"/>
      <c r="AWU11" s="31"/>
      <c r="AWV11" s="31"/>
      <c r="AWW11" s="31"/>
      <c r="AWX11" s="31"/>
      <c r="AWY11" s="31"/>
      <c r="AWZ11" s="31"/>
      <c r="AXA11" s="31"/>
      <c r="AXB11" s="31"/>
      <c r="AXC11" s="31"/>
      <c r="AXD11" s="31"/>
      <c r="AXE11" s="31"/>
      <c r="AXF11" s="31"/>
      <c r="AXG11" s="31"/>
      <c r="AXH11" s="31"/>
      <c r="AXI11" s="31"/>
      <c r="AXJ11" s="31"/>
      <c r="AXK11" s="31"/>
      <c r="AXL11" s="31"/>
      <c r="AXM11" s="31"/>
      <c r="AXN11" s="31"/>
      <c r="AXO11" s="31"/>
      <c r="AXP11" s="31"/>
      <c r="AXQ11" s="31"/>
      <c r="AXR11" s="31"/>
      <c r="AXS11" s="31"/>
      <c r="AXT11" s="31"/>
      <c r="AXU11" s="31"/>
      <c r="AXV11" s="31"/>
      <c r="AXW11" s="31"/>
      <c r="AXX11" s="31"/>
      <c r="AXY11" s="31"/>
      <c r="AXZ11" s="31"/>
      <c r="AYA11" s="31"/>
      <c r="AYB11" s="31"/>
      <c r="AYC11" s="31"/>
      <c r="AYD11" s="31"/>
      <c r="AYE11" s="31"/>
      <c r="AYF11" s="31"/>
      <c r="AYG11" s="31"/>
      <c r="AYH11" s="31"/>
      <c r="AYI11" s="31"/>
      <c r="AYJ11" s="31"/>
      <c r="AYK11" s="31"/>
      <c r="AYL11" s="31"/>
      <c r="AYM11" s="31"/>
      <c r="AYN11" s="31"/>
      <c r="AYO11" s="31"/>
      <c r="AYP11" s="31"/>
      <c r="AYQ11" s="31"/>
      <c r="AYR11" s="31"/>
      <c r="AYS11" s="31"/>
      <c r="AYT11" s="31"/>
      <c r="AYU11" s="31"/>
      <c r="AYV11" s="31"/>
      <c r="AYW11" s="31"/>
      <c r="AYX11" s="31"/>
      <c r="AYY11" s="31"/>
      <c r="AYZ11" s="31"/>
      <c r="AZA11" s="31"/>
      <c r="AZB11" s="31"/>
      <c r="AZC11" s="31"/>
      <c r="AZD11" s="31"/>
      <c r="AZE11" s="31"/>
      <c r="AZF11" s="31"/>
      <c r="AZG11" s="31"/>
      <c r="AZH11" s="31"/>
      <c r="AZI11" s="31"/>
      <c r="AZJ11" s="31"/>
      <c r="AZK11" s="31"/>
      <c r="AZL11" s="31"/>
      <c r="AZM11" s="31"/>
      <c r="AZN11" s="31"/>
      <c r="AZO11" s="31"/>
      <c r="AZP11" s="31"/>
      <c r="AZQ11" s="31"/>
      <c r="AZR11" s="31"/>
      <c r="AZS11" s="31"/>
      <c r="AZT11" s="31"/>
      <c r="AZU11" s="31"/>
      <c r="AZV11" s="31"/>
      <c r="AZW11" s="31"/>
      <c r="AZX11" s="31"/>
      <c r="AZY11" s="31"/>
      <c r="AZZ11" s="31"/>
      <c r="BAA11" s="31"/>
      <c r="BAB11" s="31"/>
      <c r="BAC11" s="31"/>
      <c r="BAD11" s="31"/>
      <c r="BAE11" s="31"/>
      <c r="BAF11" s="31"/>
      <c r="BAG11" s="31"/>
      <c r="BAH11" s="31"/>
      <c r="BAI11" s="31"/>
      <c r="BAJ11" s="31"/>
      <c r="BAK11" s="31"/>
      <c r="BAL11" s="31"/>
      <c r="BAM11" s="31"/>
      <c r="BAN11" s="31"/>
      <c r="BAO11" s="31"/>
      <c r="BAP11" s="31"/>
      <c r="BAQ11" s="31"/>
      <c r="BAR11" s="31"/>
      <c r="BAS11" s="31"/>
      <c r="BAT11" s="31"/>
      <c r="BAU11" s="31"/>
      <c r="BAV11" s="31"/>
      <c r="BAW11" s="31"/>
      <c r="BAX11" s="31"/>
      <c r="BAY11" s="31"/>
      <c r="BAZ11" s="31"/>
      <c r="BBA11" s="31"/>
      <c r="BBB11" s="31"/>
      <c r="BBC11" s="31"/>
      <c r="BBD11" s="31"/>
      <c r="BBE11" s="31"/>
      <c r="BBF11" s="31"/>
      <c r="BBG11" s="31"/>
      <c r="BBH11" s="31"/>
      <c r="BBI11" s="31"/>
      <c r="BBJ11" s="31"/>
      <c r="BBK11" s="31"/>
      <c r="BBL11" s="31"/>
      <c r="BBM11" s="31"/>
      <c r="BBN11" s="31"/>
      <c r="BBO11" s="31"/>
      <c r="BBP11" s="31"/>
      <c r="BBQ11" s="31"/>
      <c r="BBR11" s="31"/>
      <c r="BBS11" s="31"/>
      <c r="BBT11" s="31"/>
      <c r="BBU11" s="31"/>
      <c r="BBV11" s="31"/>
      <c r="BBW11" s="31"/>
      <c r="BBX11" s="31"/>
      <c r="BBY11" s="31"/>
      <c r="BBZ11" s="31"/>
      <c r="BCA11" s="31"/>
      <c r="BCB11" s="31"/>
      <c r="BCC11" s="31"/>
      <c r="BCD11" s="31"/>
      <c r="BCE11" s="31"/>
      <c r="BCF11" s="31"/>
      <c r="BCG11" s="31"/>
      <c r="BCH11" s="31"/>
      <c r="BCI11" s="31"/>
      <c r="BCJ11" s="31"/>
      <c r="BCK11" s="31"/>
      <c r="BCL11" s="31"/>
      <c r="BCM11" s="31"/>
      <c r="BCN11" s="31"/>
      <c r="BCO11" s="31"/>
      <c r="BCP11" s="31"/>
      <c r="BCQ11" s="31"/>
      <c r="BCR11" s="31"/>
      <c r="BCS11" s="31"/>
      <c r="BCT11" s="31"/>
      <c r="BCU11" s="31"/>
      <c r="BCV11" s="31"/>
      <c r="BCW11" s="31"/>
      <c r="BCX11" s="31"/>
      <c r="BCY11" s="31"/>
      <c r="BCZ11" s="31"/>
      <c r="BDA11" s="31"/>
      <c r="BDB11" s="31"/>
      <c r="BDC11" s="31"/>
      <c r="BDD11" s="31"/>
      <c r="BDE11" s="31"/>
      <c r="BDF11" s="31"/>
      <c r="BDG11" s="31"/>
      <c r="BDH11" s="31"/>
      <c r="BDI11" s="31"/>
      <c r="BDJ11" s="31"/>
      <c r="BDK11" s="31"/>
      <c r="BDL11" s="31"/>
      <c r="BDM11" s="31"/>
      <c r="BDN11" s="31"/>
      <c r="BDO11" s="31"/>
      <c r="BDP11" s="31"/>
      <c r="BDQ11" s="31"/>
      <c r="BDR11" s="31"/>
      <c r="BDS11" s="31"/>
      <c r="BDT11" s="31"/>
      <c r="BDU11" s="31"/>
      <c r="BDV11" s="31"/>
      <c r="BDW11" s="31"/>
      <c r="BDX11" s="31"/>
      <c r="BDY11" s="31"/>
      <c r="BDZ11" s="31"/>
      <c r="BEA11" s="31"/>
      <c r="BEB11" s="31"/>
      <c r="BEC11" s="31"/>
      <c r="BED11" s="31"/>
      <c r="BEE11" s="31"/>
      <c r="BEF11" s="31"/>
      <c r="BEG11" s="31"/>
      <c r="BEH11" s="31"/>
      <c r="BEI11" s="31"/>
      <c r="BEJ11" s="31"/>
      <c r="BEK11" s="31"/>
      <c r="BEL11" s="31"/>
      <c r="BEM11" s="31"/>
      <c r="BEN11" s="31"/>
      <c r="BEO11" s="31"/>
      <c r="BEP11" s="31"/>
      <c r="BEQ11" s="31"/>
      <c r="BER11" s="31"/>
      <c r="BES11" s="31"/>
      <c r="BET11" s="31"/>
      <c r="BEU11" s="31"/>
      <c r="BEV11" s="31"/>
      <c r="BEW11" s="31"/>
      <c r="BEX11" s="31"/>
      <c r="BEY11" s="31"/>
      <c r="BEZ11" s="31"/>
      <c r="BFA11" s="31"/>
      <c r="BFB11" s="31"/>
      <c r="BFC11" s="31"/>
      <c r="BFD11" s="31"/>
      <c r="BFE11" s="31"/>
      <c r="BFF11" s="31"/>
      <c r="BFG11" s="31"/>
      <c r="BFH11" s="31"/>
      <c r="BFI11" s="31"/>
      <c r="BFJ11" s="31"/>
      <c r="BFK11" s="31"/>
      <c r="BFL11" s="31"/>
      <c r="BFM11" s="31"/>
      <c r="BFN11" s="31"/>
      <c r="BFO11" s="31"/>
      <c r="BFP11" s="31"/>
      <c r="BFQ11" s="31"/>
      <c r="BFR11" s="31"/>
      <c r="BFS11" s="31"/>
      <c r="BFT11" s="31"/>
      <c r="BFU11" s="31"/>
      <c r="BFV11" s="31"/>
      <c r="BFW11" s="31"/>
      <c r="BFX11" s="31"/>
      <c r="BFY11" s="31"/>
      <c r="BFZ11" s="31"/>
      <c r="BGA11" s="31"/>
      <c r="BGB11" s="31"/>
      <c r="BGC11" s="31"/>
      <c r="BGD11" s="31"/>
      <c r="BGE11" s="31"/>
      <c r="BGF11" s="31"/>
      <c r="BGG11" s="31"/>
      <c r="BGH11" s="31"/>
      <c r="BGI11" s="31"/>
      <c r="BGJ11" s="31"/>
      <c r="BGK11" s="31"/>
      <c r="BGL11" s="31"/>
      <c r="BGM11" s="31"/>
      <c r="BGN11" s="31"/>
      <c r="BGO11" s="31"/>
      <c r="BGP11" s="31"/>
      <c r="BGQ11" s="31"/>
      <c r="BGR11" s="31"/>
      <c r="BGS11" s="31"/>
      <c r="BGT11" s="31"/>
      <c r="BGU11" s="31"/>
      <c r="BGV11" s="31"/>
      <c r="BGW11" s="31"/>
      <c r="BGX11" s="31"/>
      <c r="BGY11" s="31"/>
      <c r="BGZ11" s="31"/>
      <c r="BHA11" s="31"/>
      <c r="BHB11" s="31"/>
      <c r="BHC11" s="31"/>
      <c r="BHD11" s="31"/>
      <c r="BHE11" s="31"/>
      <c r="BHF11" s="31"/>
      <c r="BHG11" s="31"/>
      <c r="BHH11" s="31"/>
      <c r="BHI11" s="31"/>
      <c r="BHJ11" s="31"/>
      <c r="BHK11" s="31"/>
      <c r="BHL11" s="31"/>
      <c r="BHM11" s="31"/>
      <c r="BHN11" s="31"/>
      <c r="BHO11" s="31"/>
      <c r="BHP11" s="31"/>
      <c r="BHQ11" s="31"/>
      <c r="BHR11" s="31"/>
      <c r="BHS11" s="31"/>
      <c r="BHT11" s="31"/>
      <c r="BHU11" s="31"/>
      <c r="BHV11" s="31"/>
      <c r="BHW11" s="31"/>
      <c r="BHX11" s="31"/>
      <c r="BHY11" s="31"/>
      <c r="BHZ11" s="31"/>
      <c r="BIA11" s="31"/>
      <c r="BIB11" s="31"/>
      <c r="BIC11" s="31"/>
      <c r="BID11" s="31"/>
      <c r="BIE11" s="31"/>
      <c r="BIF11" s="31"/>
      <c r="BIG11" s="31"/>
      <c r="BIH11" s="31"/>
      <c r="BII11" s="31"/>
      <c r="BIJ11" s="31"/>
      <c r="BIK11" s="31"/>
      <c r="BIL11" s="31"/>
      <c r="BIM11" s="31"/>
      <c r="BIN11" s="31"/>
      <c r="BIO11" s="31"/>
      <c r="BIP11" s="31"/>
      <c r="BIQ11" s="31"/>
      <c r="BIR11" s="31"/>
      <c r="BIS11" s="31"/>
      <c r="BIT11" s="31"/>
      <c r="BIU11" s="31"/>
      <c r="BIV11" s="31"/>
      <c r="BIW11" s="31"/>
      <c r="BIX11" s="31"/>
      <c r="BIY11" s="31"/>
      <c r="BIZ11" s="31"/>
      <c r="BJA11" s="31"/>
      <c r="BJB11" s="31"/>
      <c r="BJC11" s="31"/>
      <c r="BJD11" s="31"/>
      <c r="BJE11" s="31"/>
      <c r="BJF11" s="31"/>
      <c r="BJG11" s="31"/>
      <c r="BJH11" s="31"/>
      <c r="BJI11" s="31"/>
      <c r="BJJ11" s="31"/>
      <c r="BJK11" s="31"/>
      <c r="BJL11" s="31"/>
      <c r="BJM11" s="31"/>
      <c r="BJN11" s="31"/>
      <c r="BJO11" s="31"/>
      <c r="BJP11" s="31"/>
      <c r="BJQ11" s="31"/>
      <c r="BJR11" s="31"/>
      <c r="BJS11" s="31"/>
      <c r="BJT11" s="31"/>
      <c r="BJU11" s="31"/>
      <c r="BJV11" s="31"/>
      <c r="BJW11" s="31"/>
      <c r="BJX11" s="31"/>
      <c r="BJY11" s="31"/>
      <c r="BJZ11" s="31"/>
      <c r="BKA11" s="31"/>
      <c r="BKB11" s="31"/>
      <c r="BKC11" s="31"/>
      <c r="BKD11" s="31"/>
      <c r="BKE11" s="31"/>
      <c r="BKF11" s="31"/>
      <c r="BKG11" s="31"/>
      <c r="BKH11" s="31"/>
      <c r="BKI11" s="31"/>
      <c r="BKJ11" s="31"/>
      <c r="BKK11" s="31"/>
      <c r="BKL11" s="31"/>
      <c r="BKM11" s="31"/>
      <c r="BKN11" s="31"/>
      <c r="BKO11" s="31"/>
      <c r="BKP11" s="31"/>
      <c r="BKQ11" s="31"/>
      <c r="BKR11" s="31"/>
      <c r="BKS11" s="31"/>
      <c r="BKT11" s="31"/>
      <c r="BKU11" s="31"/>
      <c r="BKV11" s="31"/>
      <c r="BKW11" s="31"/>
      <c r="BKX11" s="31"/>
      <c r="BKY11" s="31"/>
      <c r="BKZ11" s="31"/>
      <c r="BLA11" s="31"/>
      <c r="BLB11" s="31"/>
      <c r="BLC11" s="31"/>
      <c r="BLD11" s="31"/>
      <c r="BLE11" s="31"/>
      <c r="BLF11" s="31"/>
      <c r="BLG11" s="31"/>
      <c r="BLH11" s="31"/>
      <c r="BLI11" s="31"/>
      <c r="BLJ11" s="31"/>
      <c r="BLK11" s="31"/>
      <c r="BLL11" s="31"/>
      <c r="BLM11" s="31"/>
      <c r="BLN11" s="31"/>
      <c r="BLO11" s="31"/>
      <c r="BLP11" s="31"/>
      <c r="BLQ11" s="31"/>
      <c r="BLR11" s="31"/>
      <c r="BLS11" s="31"/>
      <c r="BLT11" s="31"/>
      <c r="BLU11" s="31"/>
      <c r="BLV11" s="31"/>
      <c r="BLW11" s="31"/>
      <c r="BLX11" s="31"/>
      <c r="BLY11" s="31"/>
      <c r="BLZ11" s="31"/>
      <c r="BMA11" s="31"/>
      <c r="BMB11" s="31"/>
      <c r="BMC11" s="31"/>
      <c r="BMD11" s="31"/>
      <c r="BME11" s="31"/>
      <c r="BMF11" s="31"/>
      <c r="BMG11" s="31"/>
      <c r="BMH11" s="31"/>
      <c r="BMI11" s="31"/>
      <c r="BMJ11" s="31"/>
      <c r="BMK11" s="31"/>
      <c r="BML11" s="31"/>
      <c r="BMM11" s="31"/>
      <c r="BMN11" s="31"/>
      <c r="BMO11" s="31"/>
      <c r="BMP11" s="31"/>
      <c r="BMQ11" s="31"/>
      <c r="BMR11" s="31"/>
      <c r="BMS11" s="31"/>
      <c r="BMT11" s="31"/>
      <c r="BMU11" s="31"/>
      <c r="BMV11" s="31"/>
      <c r="BMW11" s="31"/>
      <c r="BMX11" s="31"/>
      <c r="BMY11" s="31"/>
      <c r="BMZ11" s="31"/>
      <c r="BNA11" s="31"/>
      <c r="BNB11" s="31"/>
      <c r="BNC11" s="31"/>
      <c r="BND11" s="31"/>
      <c r="BNE11" s="31"/>
      <c r="BNF11" s="31"/>
      <c r="BNG11" s="31"/>
      <c r="BNH11" s="31"/>
      <c r="BNI11" s="31"/>
      <c r="BNJ11" s="31"/>
      <c r="BNK11" s="31"/>
      <c r="BNL11" s="31"/>
      <c r="BNM11" s="31"/>
      <c r="BNN11" s="31"/>
      <c r="BNO11" s="31"/>
      <c r="BNP11" s="31"/>
      <c r="BNQ11" s="31"/>
      <c r="BNR11" s="31"/>
      <c r="BNS11" s="31"/>
      <c r="BNT11" s="31"/>
      <c r="BNU11" s="31"/>
      <c r="BNV11" s="31"/>
      <c r="BNW11" s="31"/>
      <c r="BNX11" s="31"/>
      <c r="BNY11" s="31"/>
      <c r="BNZ11" s="31"/>
      <c r="BOA11" s="31"/>
      <c r="BOB11" s="31"/>
      <c r="BOC11" s="31"/>
      <c r="BOD11" s="31"/>
      <c r="BOE11" s="31"/>
      <c r="BOF11" s="31"/>
      <c r="BOG11" s="31"/>
      <c r="BOH11" s="31"/>
      <c r="BOI11" s="31"/>
      <c r="BOJ11" s="31"/>
      <c r="BOK11" s="31"/>
      <c r="BOL11" s="31"/>
      <c r="BOM11" s="31"/>
      <c r="BON11" s="31"/>
      <c r="BOO11" s="31"/>
      <c r="BOP11" s="31"/>
      <c r="BOQ11" s="31"/>
      <c r="BOR11" s="31"/>
      <c r="BOS11" s="31"/>
      <c r="BOT11" s="31"/>
      <c r="BOU11" s="31"/>
      <c r="BOV11" s="31"/>
      <c r="BOW11" s="31"/>
      <c r="BOX11" s="31"/>
      <c r="BOY11" s="31"/>
      <c r="BOZ11" s="31"/>
      <c r="BPA11" s="31"/>
      <c r="BPB11" s="31"/>
      <c r="BPC11" s="31"/>
      <c r="BPD11" s="31"/>
      <c r="BPE11" s="31"/>
      <c r="BPF11" s="31"/>
      <c r="BPG11" s="31"/>
      <c r="BPH11" s="31"/>
      <c r="BPI11" s="31"/>
      <c r="BPJ11" s="31"/>
      <c r="BPK11" s="31"/>
      <c r="BPL11" s="31"/>
      <c r="BPM11" s="31"/>
      <c r="BPN11" s="31"/>
      <c r="BPO11" s="31"/>
      <c r="BPP11" s="31"/>
      <c r="BPQ11" s="31"/>
      <c r="BPR11" s="31"/>
      <c r="BPS11" s="31"/>
      <c r="BPT11" s="31"/>
      <c r="BPU11" s="31"/>
      <c r="BPV11" s="31"/>
      <c r="BPW11" s="31"/>
      <c r="BPX11" s="31"/>
      <c r="BPY11" s="31"/>
      <c r="BPZ11" s="31"/>
      <c r="BQA11" s="31"/>
      <c r="BQB11" s="31"/>
      <c r="BQC11" s="31"/>
      <c r="BQD11" s="31"/>
      <c r="BQE11" s="31"/>
      <c r="BQF11" s="31"/>
      <c r="BQG11" s="31"/>
      <c r="BQH11" s="31"/>
      <c r="BQI11" s="31"/>
      <c r="BQJ11" s="31"/>
      <c r="BQK11" s="31"/>
      <c r="BQL11" s="31"/>
      <c r="BQM11" s="31"/>
      <c r="BQN11" s="31"/>
      <c r="BQO11" s="31"/>
      <c r="BQP11" s="31"/>
      <c r="BQQ11" s="31"/>
      <c r="BQR11" s="31"/>
      <c r="BQS11" s="31"/>
      <c r="BQT11" s="31"/>
      <c r="BQU11" s="31"/>
      <c r="BQV11" s="31"/>
      <c r="BQW11" s="31"/>
      <c r="BQX11" s="31"/>
      <c r="BQY11" s="31"/>
      <c r="BQZ11" s="31"/>
      <c r="BRA11" s="31"/>
      <c r="BRB11" s="31"/>
      <c r="BRC11" s="31"/>
      <c r="BRD11" s="31"/>
      <c r="BRE11" s="31"/>
      <c r="BRF11" s="31"/>
      <c r="BRG11" s="31"/>
      <c r="BRH11" s="31"/>
      <c r="BRI11" s="31"/>
      <c r="BRJ11" s="31"/>
      <c r="BRK11" s="31"/>
      <c r="BRL11" s="31"/>
      <c r="BRM11" s="31"/>
      <c r="BRN11" s="31"/>
      <c r="BRO11" s="31"/>
      <c r="BRP11" s="31"/>
      <c r="BRQ11" s="31"/>
      <c r="BRR11" s="31"/>
      <c r="BRS11" s="31"/>
      <c r="BRT11" s="31"/>
      <c r="BRU11" s="31"/>
      <c r="BRV11" s="31"/>
      <c r="BRW11" s="31"/>
      <c r="BRX11" s="31"/>
      <c r="BRY11" s="31"/>
      <c r="BRZ11" s="31"/>
      <c r="BSA11" s="31"/>
      <c r="BSB11" s="31"/>
      <c r="BSC11" s="31"/>
      <c r="BSD11" s="31"/>
      <c r="BSE11" s="31"/>
      <c r="BSF11" s="31"/>
      <c r="BSG11" s="31"/>
      <c r="BSH11" s="31"/>
      <c r="BSI11" s="31"/>
      <c r="BSJ11" s="31"/>
      <c r="BSK11" s="31"/>
      <c r="BSL11" s="31"/>
      <c r="BSM11" s="31"/>
      <c r="BSN11" s="31"/>
      <c r="BSO11" s="31"/>
      <c r="BSP11" s="31"/>
      <c r="BSQ11" s="31"/>
      <c r="BSR11" s="31"/>
      <c r="BSS11" s="31"/>
      <c r="BST11" s="31"/>
      <c r="BSU11" s="31"/>
      <c r="BSV11" s="31"/>
      <c r="BSW11" s="31"/>
      <c r="BSX11" s="31"/>
      <c r="BSY11" s="31"/>
      <c r="BSZ11" s="31"/>
      <c r="BTA11" s="31"/>
      <c r="BTB11" s="31"/>
      <c r="BTC11" s="31"/>
      <c r="BTD11" s="31"/>
      <c r="BTE11" s="31"/>
      <c r="BTF11" s="31"/>
      <c r="BTG11" s="31"/>
      <c r="BTH11" s="31"/>
      <c r="BTI11" s="31"/>
      <c r="BTJ11" s="31"/>
      <c r="BTK11" s="31"/>
      <c r="BTL11" s="31"/>
      <c r="BTM11" s="31"/>
      <c r="BTN11" s="31"/>
      <c r="BTO11" s="31"/>
      <c r="BTP11" s="31"/>
      <c r="BTQ11" s="31"/>
      <c r="BTR11" s="31"/>
      <c r="BTS11" s="31"/>
      <c r="BTT11" s="31"/>
      <c r="BTU11" s="31"/>
      <c r="BTV11" s="31"/>
      <c r="BTW11" s="31"/>
      <c r="BTX11" s="31"/>
      <c r="BTY11" s="31"/>
      <c r="BTZ11" s="31"/>
      <c r="BUA11" s="31"/>
      <c r="BUB11" s="31"/>
      <c r="BUC11" s="31"/>
      <c r="BUD11" s="31"/>
      <c r="BUE11" s="31"/>
      <c r="BUF11" s="31"/>
      <c r="BUG11" s="31"/>
      <c r="BUH11" s="31"/>
      <c r="BUI11" s="31"/>
      <c r="BUJ11" s="31"/>
      <c r="BUK11" s="31"/>
      <c r="BUL11" s="31"/>
      <c r="BUM11" s="31"/>
      <c r="BUN11" s="31"/>
      <c r="BUO11" s="31"/>
      <c r="BUP11" s="31"/>
      <c r="BUQ11" s="31"/>
      <c r="BUR11" s="31"/>
      <c r="BUS11" s="31"/>
      <c r="BUT11" s="31"/>
      <c r="BUU11" s="31"/>
      <c r="BUV11" s="31"/>
      <c r="BUW11" s="31"/>
      <c r="BUX11" s="31"/>
      <c r="BUY11" s="31"/>
      <c r="BUZ11" s="31"/>
      <c r="BVA11" s="31"/>
      <c r="BVB11" s="31"/>
      <c r="BVC11" s="31"/>
      <c r="BVD11" s="31"/>
      <c r="BVE11" s="31"/>
      <c r="BVF11" s="31"/>
      <c r="BVG11" s="31"/>
      <c r="BVH11" s="31"/>
      <c r="BVI11" s="31"/>
      <c r="BVJ11" s="31"/>
      <c r="BVK11" s="31"/>
      <c r="BVL11" s="31"/>
      <c r="BVM11" s="31"/>
      <c r="BVN11" s="31"/>
      <c r="BVO11" s="31"/>
      <c r="BVP11" s="31"/>
      <c r="BVQ11" s="31"/>
      <c r="BVR11" s="31"/>
      <c r="BVS11" s="31"/>
      <c r="BVT11" s="31"/>
      <c r="BVU11" s="31"/>
      <c r="BVV11" s="31"/>
      <c r="BVW11" s="31"/>
      <c r="BVX11" s="31"/>
      <c r="BVY11" s="31"/>
      <c r="BVZ11" s="31"/>
      <c r="BWA11" s="31"/>
      <c r="BWB11" s="31"/>
      <c r="BWC11" s="31"/>
      <c r="BWD11" s="31"/>
      <c r="BWE11" s="31"/>
      <c r="BWF11" s="31"/>
      <c r="BWG11" s="31"/>
      <c r="BWH11" s="31"/>
      <c r="BWI11" s="31"/>
      <c r="BWJ11" s="31"/>
      <c r="BWK11" s="31"/>
      <c r="BWL11" s="31"/>
      <c r="BWM11" s="31"/>
      <c r="BWN11" s="31"/>
      <c r="BWO11" s="31"/>
      <c r="BWP11" s="31"/>
      <c r="BWQ11" s="31"/>
      <c r="BWR11" s="31"/>
      <c r="BWS11" s="31"/>
      <c r="BWT11" s="31"/>
      <c r="BWU11" s="31"/>
      <c r="BWV11" s="31"/>
      <c r="BWW11" s="31"/>
      <c r="BWX11" s="31"/>
      <c r="BWY11" s="31"/>
      <c r="BWZ11" s="31"/>
      <c r="BXA11" s="31"/>
      <c r="BXB11" s="31"/>
      <c r="BXC11" s="31"/>
      <c r="BXD11" s="31"/>
      <c r="BXE11" s="31"/>
      <c r="BXF11" s="31"/>
      <c r="BXG11" s="31"/>
      <c r="BXH11" s="31"/>
      <c r="BXI11" s="31"/>
      <c r="BXJ11" s="31"/>
      <c r="BXK11" s="31"/>
      <c r="BXL11" s="31"/>
      <c r="BXM11" s="31"/>
      <c r="BXN11" s="31"/>
      <c r="BXO11" s="31"/>
      <c r="BXP11" s="31"/>
      <c r="BXQ11" s="31"/>
      <c r="BXR11" s="31"/>
      <c r="BXS11" s="31"/>
      <c r="BXT11" s="31"/>
      <c r="BXU11" s="31"/>
      <c r="BXV11" s="31"/>
      <c r="BXW11" s="31"/>
      <c r="BXX11" s="31"/>
      <c r="BXY11" s="31"/>
      <c r="BXZ11" s="31"/>
      <c r="BYA11" s="31"/>
      <c r="BYB11" s="31"/>
      <c r="BYC11" s="31"/>
      <c r="BYD11" s="31"/>
      <c r="BYE11" s="31"/>
      <c r="BYF11" s="31"/>
      <c r="BYG11" s="31"/>
      <c r="BYH11" s="31"/>
      <c r="BYI11" s="31"/>
      <c r="BYJ11" s="31"/>
      <c r="BYK11" s="31"/>
      <c r="BYL11" s="31"/>
      <c r="BYM11" s="31"/>
      <c r="BYN11" s="31"/>
      <c r="BYO11" s="31"/>
      <c r="BYP11" s="31"/>
      <c r="BYQ11" s="31"/>
      <c r="BYR11" s="31"/>
      <c r="BYS11" s="31"/>
      <c r="BYT11" s="31"/>
      <c r="BYU11" s="31"/>
      <c r="BYV11" s="31"/>
      <c r="BYW11" s="31"/>
      <c r="BYX11" s="31"/>
      <c r="BYY11" s="31"/>
      <c r="BYZ11" s="31"/>
      <c r="BZA11" s="31"/>
      <c r="BZB11" s="31"/>
      <c r="BZC11" s="31"/>
      <c r="BZD11" s="31"/>
      <c r="BZE11" s="31"/>
      <c r="BZF11" s="31"/>
      <c r="BZG11" s="31"/>
      <c r="BZH11" s="31"/>
      <c r="BZI11" s="31"/>
      <c r="BZJ11" s="31"/>
      <c r="BZK11" s="31"/>
      <c r="BZL11" s="31"/>
      <c r="BZM11" s="31"/>
      <c r="BZN11" s="31"/>
      <c r="BZO11" s="31"/>
      <c r="BZP11" s="31"/>
      <c r="BZQ11" s="31"/>
      <c r="BZR11" s="31"/>
      <c r="BZS11" s="31"/>
      <c r="BZT11" s="31"/>
      <c r="BZU11" s="31"/>
      <c r="BZV11" s="31"/>
      <c r="BZW11" s="31"/>
      <c r="BZX11" s="31"/>
      <c r="BZY11" s="31"/>
      <c r="BZZ11" s="31"/>
      <c r="CAA11" s="31"/>
      <c r="CAB11" s="31"/>
      <c r="CAC11" s="31"/>
      <c r="CAD11" s="31"/>
      <c r="CAE11" s="31"/>
      <c r="CAF11" s="31"/>
      <c r="CAG11" s="31"/>
      <c r="CAH11" s="31"/>
      <c r="CAI11" s="31"/>
      <c r="CAJ11" s="31"/>
      <c r="CAK11" s="31"/>
      <c r="CAL11" s="31"/>
      <c r="CAM11" s="31"/>
      <c r="CAN11" s="31"/>
      <c r="CAO11" s="31"/>
      <c r="CAP11" s="31"/>
      <c r="CAQ11" s="31"/>
      <c r="CAR11" s="31"/>
      <c r="CAS11" s="31"/>
      <c r="CAT11" s="31"/>
      <c r="CAU11" s="31"/>
      <c r="CAV11" s="31"/>
      <c r="CAW11" s="31"/>
      <c r="CAX11" s="31"/>
      <c r="CAY11" s="31"/>
      <c r="CAZ11" s="31"/>
      <c r="CBA11" s="31"/>
      <c r="CBB11" s="31"/>
      <c r="CBC11" s="31"/>
      <c r="CBD11" s="31"/>
      <c r="CBE11" s="31"/>
      <c r="CBF11" s="31"/>
      <c r="CBG11" s="31"/>
      <c r="CBH11" s="31"/>
      <c r="CBI11" s="31"/>
      <c r="CBJ11" s="31"/>
      <c r="CBK11" s="31"/>
      <c r="CBL11" s="31"/>
      <c r="CBM11" s="31"/>
      <c r="CBN11" s="31"/>
      <c r="CBO11" s="31"/>
      <c r="CBP11" s="31"/>
      <c r="CBQ11" s="31"/>
      <c r="CBR11" s="31"/>
      <c r="CBS11" s="31"/>
      <c r="CBT11" s="31"/>
      <c r="CBU11" s="31"/>
      <c r="CBV11" s="31"/>
      <c r="CBW11" s="31"/>
      <c r="CBX11" s="31"/>
      <c r="CBY11" s="31"/>
      <c r="CBZ11" s="31"/>
      <c r="CCA11" s="31"/>
      <c r="CCB11" s="31"/>
      <c r="CCC11" s="31"/>
      <c r="CCD11" s="31"/>
      <c r="CCE11" s="31"/>
      <c r="CCF11" s="31"/>
      <c r="CCG11" s="31"/>
      <c r="CCH11" s="31"/>
      <c r="CCI11" s="31"/>
      <c r="CCJ11" s="31"/>
      <c r="CCK11" s="31"/>
      <c r="CCL11" s="31"/>
      <c r="CCM11" s="31"/>
      <c r="CCN11" s="31"/>
      <c r="CCO11" s="31"/>
      <c r="CCP11" s="31"/>
      <c r="CCQ11" s="31"/>
      <c r="CCR11" s="31"/>
      <c r="CCS11" s="31"/>
      <c r="CCT11" s="31"/>
      <c r="CCU11" s="31"/>
      <c r="CCV11" s="31"/>
      <c r="CCW11" s="31"/>
      <c r="CCX11" s="31"/>
      <c r="CCY11" s="31"/>
      <c r="CCZ11" s="31"/>
      <c r="CDA11" s="31"/>
      <c r="CDB11" s="31"/>
      <c r="CDC11" s="31"/>
      <c r="CDD11" s="31"/>
      <c r="CDE11" s="31"/>
      <c r="CDF11" s="31"/>
      <c r="CDG11" s="31"/>
      <c r="CDH11" s="31"/>
      <c r="CDI11" s="31"/>
      <c r="CDJ11" s="31"/>
      <c r="CDK11" s="31"/>
      <c r="CDL11" s="31"/>
      <c r="CDM11" s="31"/>
      <c r="CDN11" s="31"/>
      <c r="CDO11" s="31"/>
      <c r="CDP11" s="31"/>
      <c r="CDQ11" s="31"/>
      <c r="CDR11" s="31"/>
      <c r="CDS11" s="31"/>
      <c r="CDT11" s="31"/>
      <c r="CDU11" s="31"/>
      <c r="CDV11" s="31"/>
      <c r="CDW11" s="31"/>
      <c r="CDX11" s="31"/>
      <c r="CDY11" s="31"/>
      <c r="CDZ11" s="31"/>
      <c r="CEA11" s="31"/>
      <c r="CEB11" s="31"/>
      <c r="CEC11" s="31"/>
      <c r="CED11" s="31"/>
      <c r="CEE11" s="31"/>
      <c r="CEF11" s="31"/>
      <c r="CEG11" s="31"/>
      <c r="CEH11" s="31"/>
      <c r="CEI11" s="31"/>
      <c r="CEJ11" s="31"/>
      <c r="CEK11" s="31"/>
      <c r="CEL11" s="31"/>
      <c r="CEM11" s="31"/>
      <c r="CEN11" s="31"/>
      <c r="CEO11" s="31"/>
      <c r="CEP11" s="31"/>
      <c r="CEQ11" s="31"/>
      <c r="CER11" s="31"/>
      <c r="CES11" s="31"/>
      <c r="CET11" s="31"/>
      <c r="CEU11" s="31"/>
      <c r="CEV11" s="31"/>
      <c r="CEW11" s="31"/>
      <c r="CEX11" s="31"/>
      <c r="CEY11" s="31"/>
      <c r="CEZ11" s="31"/>
      <c r="CFA11" s="31"/>
      <c r="CFB11" s="31"/>
      <c r="CFC11" s="31"/>
      <c r="CFD11" s="31"/>
      <c r="CFE11" s="31"/>
      <c r="CFF11" s="31"/>
      <c r="CFG11" s="31"/>
      <c r="CFH11" s="31"/>
      <c r="CFI11" s="31"/>
      <c r="CFJ11" s="31"/>
      <c r="CFK11" s="31"/>
      <c r="CFL11" s="31"/>
      <c r="CFM11" s="31"/>
      <c r="CFN11" s="31"/>
      <c r="CFO11" s="31"/>
      <c r="CFP11" s="31"/>
      <c r="CFQ11" s="31"/>
      <c r="CFR11" s="31"/>
      <c r="CFS11" s="31"/>
      <c r="CFT11" s="31"/>
      <c r="CFU11" s="31"/>
      <c r="CFV11" s="31"/>
      <c r="CFW11" s="31"/>
      <c r="CFX11" s="31"/>
      <c r="CFY11" s="31"/>
      <c r="CFZ11" s="31"/>
      <c r="CGA11" s="31"/>
      <c r="CGB11" s="31"/>
      <c r="CGC11" s="31"/>
      <c r="CGD11" s="31"/>
      <c r="CGE11" s="31"/>
      <c r="CGF11" s="31"/>
      <c r="CGG11" s="31"/>
      <c r="CGH11" s="31"/>
      <c r="CGI11" s="31"/>
      <c r="CGJ11" s="31"/>
      <c r="CGK11" s="31"/>
      <c r="CGL11" s="31"/>
      <c r="CGM11" s="31"/>
      <c r="CGN11" s="31"/>
      <c r="CGO11" s="31"/>
      <c r="CGP11" s="31"/>
      <c r="CGQ11" s="31"/>
      <c r="CGR11" s="31"/>
      <c r="CGS11" s="31"/>
      <c r="CGT11" s="31"/>
      <c r="CGU11" s="31"/>
      <c r="CGV11" s="31"/>
      <c r="CGW11" s="31"/>
      <c r="CGX11" s="31"/>
      <c r="CGY11" s="31"/>
      <c r="CGZ11" s="31"/>
      <c r="CHA11" s="31"/>
      <c r="CHB11" s="31"/>
      <c r="CHC11" s="31"/>
      <c r="CHD11" s="31"/>
      <c r="CHE11" s="31"/>
      <c r="CHF11" s="31"/>
      <c r="CHG11" s="31"/>
      <c r="CHH11" s="31"/>
      <c r="CHI11" s="31"/>
      <c r="CHJ11" s="31"/>
      <c r="CHK11" s="31"/>
      <c r="CHL11" s="31"/>
      <c r="CHM11" s="31"/>
      <c r="CHN11" s="31"/>
      <c r="CHO11" s="31"/>
      <c r="CHP11" s="31"/>
      <c r="CHQ11" s="31"/>
      <c r="CHR11" s="31"/>
      <c r="CHS11" s="31"/>
      <c r="CHT11" s="31"/>
      <c r="CHU11" s="31"/>
      <c r="CHV11" s="31"/>
      <c r="CHW11" s="31"/>
      <c r="CHX11" s="31"/>
      <c r="CHY11" s="31"/>
      <c r="CHZ11" s="31"/>
      <c r="CIA11" s="31"/>
      <c r="CIB11" s="31"/>
      <c r="CIC11" s="31"/>
      <c r="CID11" s="31"/>
      <c r="CIE11" s="31"/>
      <c r="CIF11" s="31"/>
      <c r="CIG11" s="31"/>
      <c r="CIH11" s="31"/>
      <c r="CII11" s="31"/>
      <c r="CIJ11" s="31"/>
      <c r="CIK11" s="31"/>
      <c r="CIL11" s="31"/>
      <c r="CIM11" s="31"/>
      <c r="CIN11" s="31"/>
      <c r="CIO11" s="31"/>
      <c r="CIP11" s="31"/>
      <c r="CIQ11" s="31"/>
      <c r="CIR11" s="31"/>
      <c r="CIS11" s="31"/>
      <c r="CIT11" s="31"/>
      <c r="CIU11" s="31"/>
      <c r="CIV11" s="31"/>
      <c r="CIW11" s="31"/>
      <c r="CIX11" s="31"/>
      <c r="CIY11" s="31"/>
      <c r="CIZ11" s="31"/>
      <c r="CJA11" s="31"/>
      <c r="CJB11" s="31"/>
      <c r="CJC11" s="31"/>
      <c r="CJD11" s="31"/>
      <c r="CJE11" s="31"/>
      <c r="CJF11" s="31"/>
      <c r="CJG11" s="31"/>
      <c r="CJH11" s="31"/>
      <c r="CJI11" s="31"/>
      <c r="CJJ11" s="31"/>
      <c r="CJK11" s="31"/>
      <c r="CJL11" s="31"/>
      <c r="CJM11" s="31"/>
      <c r="CJN11" s="31"/>
      <c r="CJO11" s="31"/>
      <c r="CJP11" s="31"/>
      <c r="CJQ11" s="31"/>
      <c r="CJR11" s="31"/>
      <c r="CJS11" s="31"/>
      <c r="CJT11" s="31"/>
      <c r="CJU11" s="31"/>
      <c r="CJV11" s="31"/>
      <c r="CJW11" s="31"/>
      <c r="CJX11" s="31"/>
      <c r="CJY11" s="31"/>
      <c r="CJZ11" s="31"/>
      <c r="CKA11" s="31"/>
      <c r="CKB11" s="31"/>
      <c r="CKC11" s="31"/>
      <c r="CKD11" s="31"/>
      <c r="CKE11" s="31"/>
      <c r="CKF11" s="31"/>
      <c r="CKG11" s="31"/>
      <c r="CKH11" s="31"/>
      <c r="CKI11" s="31"/>
      <c r="CKJ11" s="31"/>
      <c r="CKK11" s="31"/>
      <c r="CKL11" s="31"/>
      <c r="CKM11" s="31"/>
      <c r="CKN11" s="31"/>
      <c r="CKO11" s="31"/>
      <c r="CKP11" s="31"/>
      <c r="CKQ11" s="31"/>
      <c r="CKR11" s="31"/>
      <c r="CKS11" s="31"/>
      <c r="CKT11" s="31"/>
      <c r="CKU11" s="31"/>
      <c r="CKV11" s="31"/>
      <c r="CKW11" s="31"/>
      <c r="CKX11" s="31"/>
      <c r="CKY11" s="31"/>
      <c r="CKZ11" s="31"/>
      <c r="CLA11" s="31"/>
      <c r="CLB11" s="31"/>
      <c r="CLC11" s="31"/>
      <c r="CLD11" s="31"/>
      <c r="CLE11" s="31"/>
      <c r="CLF11" s="31"/>
      <c r="CLG11" s="31"/>
      <c r="CLH11" s="31"/>
      <c r="CLI11" s="31"/>
      <c r="CLJ11" s="31"/>
      <c r="CLK11" s="31"/>
      <c r="CLL11" s="31"/>
      <c r="CLM11" s="31"/>
      <c r="CLN11" s="31"/>
      <c r="CLO11" s="31"/>
      <c r="CLP11" s="31"/>
      <c r="CLQ11" s="31"/>
      <c r="CLR11" s="31"/>
      <c r="CLS11" s="31"/>
      <c r="CLT11" s="31"/>
      <c r="CLU11" s="31"/>
      <c r="CLV11" s="31"/>
      <c r="CLW11" s="31"/>
      <c r="CLX11" s="31"/>
      <c r="CLY11" s="31"/>
      <c r="CLZ11" s="31"/>
      <c r="CMA11" s="31"/>
      <c r="CMB11" s="31"/>
      <c r="CMC11" s="31"/>
      <c r="CMD11" s="31"/>
      <c r="CME11" s="31"/>
      <c r="CMF11" s="31"/>
      <c r="CMG11" s="31"/>
      <c r="CMH11" s="31"/>
      <c r="CMI11" s="31"/>
      <c r="CMJ11" s="31"/>
      <c r="CMK11" s="31"/>
      <c r="CML11" s="31"/>
      <c r="CMM11" s="31"/>
      <c r="CMN11" s="31"/>
      <c r="CMO11" s="31"/>
      <c r="CMP11" s="31"/>
      <c r="CMQ11" s="31"/>
      <c r="CMR11" s="31"/>
      <c r="CMS11" s="31"/>
      <c r="CMT11" s="31"/>
      <c r="CMU11" s="31"/>
      <c r="CMV11" s="31"/>
      <c r="CMW11" s="31"/>
      <c r="CMX11" s="31"/>
      <c r="CMY11" s="31"/>
      <c r="CMZ11" s="31"/>
      <c r="CNA11" s="31"/>
      <c r="CNB11" s="31"/>
      <c r="CNC11" s="31"/>
      <c r="CND11" s="31"/>
      <c r="CNE11" s="31"/>
      <c r="CNF11" s="31"/>
      <c r="CNG11" s="31"/>
      <c r="CNH11" s="31"/>
      <c r="CNI11" s="31"/>
      <c r="CNJ11" s="31"/>
      <c r="CNK11" s="31"/>
      <c r="CNL11" s="31"/>
      <c r="CNM11" s="31"/>
      <c r="CNN11" s="31"/>
      <c r="CNO11" s="31"/>
      <c r="CNP11" s="31"/>
      <c r="CNQ11" s="31"/>
      <c r="CNR11" s="31"/>
      <c r="CNS11" s="31"/>
      <c r="CNT11" s="31"/>
      <c r="CNU11" s="31"/>
      <c r="CNV11" s="31"/>
      <c r="CNW11" s="31"/>
      <c r="CNX11" s="31"/>
      <c r="CNY11" s="31"/>
      <c r="CNZ11" s="31"/>
      <c r="COA11" s="31"/>
      <c r="COB11" s="31"/>
      <c r="COC11" s="31"/>
      <c r="COD11" s="31"/>
      <c r="COE11" s="31"/>
      <c r="COF11" s="31"/>
      <c r="COG11" s="31"/>
      <c r="COH11" s="31"/>
      <c r="COI11" s="31"/>
      <c r="COJ11" s="31"/>
      <c r="COK11" s="31"/>
      <c r="COL11" s="31"/>
      <c r="COM11" s="31"/>
      <c r="CON11" s="31"/>
      <c r="COO11" s="31"/>
      <c r="COP11" s="31"/>
      <c r="COQ11" s="31"/>
      <c r="COR11" s="31"/>
      <c r="COS11" s="31"/>
      <c r="COT11" s="31"/>
      <c r="COU11" s="31"/>
      <c r="COV11" s="31"/>
      <c r="COW11" s="31"/>
      <c r="COX11" s="31"/>
      <c r="COY11" s="31"/>
      <c r="COZ11" s="31"/>
      <c r="CPA11" s="31"/>
      <c r="CPB11" s="31"/>
      <c r="CPC11" s="31"/>
      <c r="CPD11" s="31"/>
      <c r="CPE11" s="31"/>
      <c r="CPF11" s="31"/>
      <c r="CPG11" s="31"/>
      <c r="CPH11" s="31"/>
      <c r="CPI11" s="31"/>
      <c r="CPJ11" s="31"/>
      <c r="CPK11" s="31"/>
      <c r="CPL11" s="31"/>
      <c r="CPM11" s="31"/>
      <c r="CPN11" s="31"/>
      <c r="CPO11" s="31"/>
      <c r="CPP11" s="31"/>
      <c r="CPQ11" s="31"/>
      <c r="CPR11" s="31"/>
      <c r="CPS11" s="31"/>
      <c r="CPT11" s="31"/>
      <c r="CPU11" s="31"/>
      <c r="CPV11" s="31"/>
      <c r="CPW11" s="31"/>
      <c r="CPX11" s="31"/>
      <c r="CPY11" s="31"/>
      <c r="CPZ11" s="31"/>
      <c r="CQA11" s="31"/>
      <c r="CQB11" s="31"/>
      <c r="CQC11" s="31"/>
      <c r="CQD11" s="31"/>
      <c r="CQE11" s="31"/>
      <c r="CQF11" s="31"/>
      <c r="CQG11" s="31"/>
      <c r="CQH11" s="31"/>
      <c r="CQI11" s="31"/>
      <c r="CQJ11" s="31"/>
      <c r="CQK11" s="31"/>
      <c r="CQL11" s="31"/>
      <c r="CQM11" s="31"/>
      <c r="CQN11" s="31"/>
      <c r="CQO11" s="31"/>
      <c r="CQP11" s="31"/>
      <c r="CQQ11" s="31"/>
      <c r="CQR11" s="31"/>
      <c r="CQS11" s="31"/>
      <c r="CQT11" s="31"/>
      <c r="CQU11" s="31"/>
      <c r="CQV11" s="31"/>
      <c r="CQW11" s="31"/>
      <c r="CQX11" s="31"/>
      <c r="CQY11" s="31"/>
      <c r="CQZ11" s="31"/>
      <c r="CRA11" s="31"/>
      <c r="CRB11" s="31"/>
      <c r="CRC11" s="31"/>
      <c r="CRD11" s="31"/>
      <c r="CRE11" s="31"/>
      <c r="CRF11" s="31"/>
      <c r="CRG11" s="31"/>
      <c r="CRH11" s="31"/>
      <c r="CRI11" s="31"/>
      <c r="CRJ11" s="31"/>
      <c r="CRK11" s="31"/>
      <c r="CRL11" s="31"/>
      <c r="CRM11" s="31"/>
      <c r="CRN11" s="31"/>
      <c r="CRO11" s="31"/>
      <c r="CRP11" s="31"/>
      <c r="CRQ11" s="31"/>
      <c r="CRR11" s="31"/>
      <c r="CRS11" s="31"/>
      <c r="CRT11" s="31"/>
      <c r="CRU11" s="31"/>
      <c r="CRV11" s="31"/>
      <c r="CRW11" s="31"/>
      <c r="CRX11" s="31"/>
      <c r="CRY11" s="31"/>
      <c r="CRZ11" s="31"/>
      <c r="CSA11" s="31"/>
      <c r="CSB11" s="31"/>
      <c r="CSC11" s="31"/>
      <c r="CSD11" s="31"/>
      <c r="CSE11" s="31"/>
      <c r="CSF11" s="31"/>
      <c r="CSG11" s="31"/>
      <c r="CSH11" s="31"/>
      <c r="CSI11" s="31"/>
      <c r="CSJ11" s="31"/>
      <c r="CSK11" s="31"/>
      <c r="CSL11" s="31"/>
      <c r="CSM11" s="31"/>
      <c r="CSN11" s="31"/>
      <c r="CSO11" s="31"/>
      <c r="CSP11" s="31"/>
      <c r="CSQ11" s="31"/>
      <c r="CSR11" s="31"/>
      <c r="CSS11" s="31"/>
      <c r="CST11" s="31"/>
      <c r="CSU11" s="31"/>
      <c r="CSV11" s="31"/>
      <c r="CSW11" s="31"/>
      <c r="CSX11" s="31"/>
      <c r="CSY11" s="31"/>
      <c r="CSZ11" s="31"/>
      <c r="CTA11" s="31"/>
      <c r="CTB11" s="31"/>
      <c r="CTC11" s="31"/>
      <c r="CTD11" s="31"/>
      <c r="CTE11" s="31"/>
      <c r="CTF11" s="31"/>
      <c r="CTG11" s="31"/>
      <c r="CTH11" s="31"/>
      <c r="CTI11" s="31"/>
      <c r="CTJ11" s="31"/>
      <c r="CTK11" s="31"/>
      <c r="CTL11" s="31"/>
      <c r="CTM11" s="31"/>
      <c r="CTN11" s="31"/>
      <c r="CTO11" s="31"/>
      <c r="CTP11" s="31"/>
      <c r="CTQ11" s="31"/>
      <c r="CTR11" s="31"/>
      <c r="CTS11" s="31"/>
      <c r="CTT11" s="31"/>
      <c r="CTU11" s="31"/>
      <c r="CTV11" s="31"/>
      <c r="CTW11" s="31"/>
      <c r="CTX11" s="31"/>
      <c r="CTY11" s="31"/>
      <c r="CTZ11" s="31"/>
      <c r="CUA11" s="31"/>
      <c r="CUB11" s="31"/>
      <c r="CUC11" s="31"/>
      <c r="CUD11" s="31"/>
      <c r="CUE11" s="31"/>
      <c r="CUF11" s="31"/>
      <c r="CUG11" s="31"/>
      <c r="CUH11" s="31"/>
      <c r="CUI11" s="31"/>
      <c r="CUJ11" s="31"/>
      <c r="CUK11" s="31"/>
      <c r="CUL11" s="31"/>
      <c r="CUM11" s="31"/>
      <c r="CUN11" s="31"/>
      <c r="CUO11" s="31"/>
      <c r="CUP11" s="31"/>
      <c r="CUQ11" s="31"/>
      <c r="CUR11" s="31"/>
      <c r="CUS11" s="31"/>
      <c r="CUT11" s="31"/>
      <c r="CUU11" s="31"/>
      <c r="CUV11" s="31"/>
      <c r="CUW11" s="31"/>
      <c r="CUX11" s="31"/>
      <c r="CUY11" s="31"/>
      <c r="CUZ11" s="31"/>
      <c r="CVA11" s="31"/>
      <c r="CVB11" s="31"/>
      <c r="CVC11" s="31"/>
      <c r="CVD11" s="31"/>
      <c r="CVE11" s="31"/>
      <c r="CVF11" s="31"/>
      <c r="CVG11" s="31"/>
      <c r="CVH11" s="31"/>
      <c r="CVI11" s="31"/>
      <c r="CVJ11" s="31"/>
      <c r="CVK11" s="31"/>
      <c r="CVL11" s="31"/>
      <c r="CVM11" s="31"/>
      <c r="CVN11" s="31"/>
      <c r="CVO11" s="31"/>
      <c r="CVP11" s="31"/>
      <c r="CVQ11" s="31"/>
      <c r="CVR11" s="31"/>
      <c r="CVS11" s="31"/>
      <c r="CVT11" s="31"/>
      <c r="CVU11" s="31"/>
      <c r="CVV11" s="31"/>
      <c r="CVW11" s="31"/>
      <c r="CVX11" s="31"/>
      <c r="CVY11" s="31"/>
      <c r="CVZ11" s="31"/>
      <c r="CWA11" s="31"/>
      <c r="CWB11" s="31"/>
      <c r="CWC11" s="31"/>
      <c r="CWD11" s="31"/>
      <c r="CWE11" s="31"/>
      <c r="CWF11" s="31"/>
      <c r="CWG11" s="31"/>
      <c r="CWH11" s="31"/>
      <c r="CWI11" s="31"/>
      <c r="CWJ11" s="31"/>
      <c r="CWK11" s="31"/>
      <c r="CWL11" s="31"/>
      <c r="CWM11" s="31"/>
      <c r="CWN11" s="31"/>
      <c r="CWO11" s="31"/>
      <c r="CWP11" s="31"/>
      <c r="CWQ11" s="31"/>
      <c r="CWR11" s="31"/>
      <c r="CWS11" s="31"/>
      <c r="CWT11" s="31"/>
      <c r="CWU11" s="31"/>
      <c r="CWV11" s="31"/>
      <c r="CWW11" s="31"/>
      <c r="CWX11" s="31"/>
      <c r="CWY11" s="31"/>
      <c r="CWZ11" s="31"/>
      <c r="CXA11" s="31"/>
      <c r="CXB11" s="31"/>
      <c r="CXC11" s="31"/>
      <c r="CXD11" s="31"/>
      <c r="CXE11" s="31"/>
      <c r="CXF11" s="31"/>
      <c r="CXG11" s="31"/>
      <c r="CXH11" s="31"/>
      <c r="CXI11" s="31"/>
      <c r="CXJ11" s="31"/>
      <c r="CXK11" s="31"/>
      <c r="CXL11" s="31"/>
      <c r="CXM11" s="31"/>
      <c r="CXN11" s="31"/>
      <c r="CXO11" s="31"/>
      <c r="CXP11" s="31"/>
      <c r="CXQ11" s="31"/>
      <c r="CXR11" s="31"/>
      <c r="CXS11" s="31"/>
      <c r="CXT11" s="31"/>
      <c r="CXU11" s="31"/>
      <c r="CXV11" s="31"/>
      <c r="CXW11" s="31"/>
      <c r="CXX11" s="31"/>
      <c r="CXY11" s="31"/>
      <c r="CXZ11" s="31"/>
      <c r="CYA11" s="31"/>
      <c r="CYB11" s="31"/>
      <c r="CYC11" s="31"/>
      <c r="CYD11" s="31"/>
      <c r="CYE11" s="31"/>
      <c r="CYF11" s="31"/>
      <c r="CYG11" s="31"/>
      <c r="CYH11" s="31"/>
      <c r="CYI11" s="31"/>
      <c r="CYJ11" s="31"/>
      <c r="CYK11" s="31"/>
      <c r="CYL11" s="31"/>
      <c r="CYM11" s="31"/>
      <c r="CYN11" s="31"/>
      <c r="CYO11" s="31"/>
      <c r="CYP11" s="31"/>
      <c r="CYQ11" s="31"/>
      <c r="CYR11" s="31"/>
      <c r="CYS11" s="31"/>
      <c r="CYT11" s="31"/>
      <c r="CYU11" s="31"/>
      <c r="CYV11" s="31"/>
      <c r="CYW11" s="31"/>
      <c r="CYX11" s="31"/>
      <c r="CYY11" s="31"/>
      <c r="CYZ11" s="31"/>
      <c r="CZA11" s="31"/>
      <c r="CZB11" s="31"/>
      <c r="CZC11" s="31"/>
      <c r="CZD11" s="31"/>
      <c r="CZE11" s="31"/>
      <c r="CZF11" s="31"/>
      <c r="CZG11" s="31"/>
      <c r="CZH11" s="31"/>
      <c r="CZI11" s="31"/>
      <c r="CZJ11" s="31"/>
      <c r="CZK11" s="31"/>
      <c r="CZL11" s="31"/>
      <c r="CZM11" s="31"/>
      <c r="CZN11" s="31"/>
      <c r="CZO11" s="31"/>
      <c r="CZP11" s="31"/>
      <c r="CZQ11" s="31"/>
      <c r="CZR11" s="31"/>
      <c r="CZS11" s="31"/>
      <c r="CZT11" s="31"/>
      <c r="CZU11" s="31"/>
      <c r="CZV11" s="31"/>
      <c r="CZW11" s="31"/>
      <c r="CZX11" s="31"/>
      <c r="CZY11" s="31"/>
      <c r="CZZ11" s="31"/>
      <c r="DAA11" s="31"/>
      <c r="DAB11" s="31"/>
      <c r="DAC11" s="31"/>
      <c r="DAD11" s="31"/>
      <c r="DAE11" s="31"/>
      <c r="DAF11" s="31"/>
      <c r="DAG11" s="31"/>
      <c r="DAH11" s="31"/>
      <c r="DAI11" s="31"/>
      <c r="DAJ11" s="31"/>
      <c r="DAK11" s="31"/>
      <c r="DAL11" s="31"/>
      <c r="DAM11" s="31"/>
      <c r="DAN11" s="31"/>
      <c r="DAO11" s="31"/>
      <c r="DAP11" s="31"/>
      <c r="DAQ11" s="31"/>
      <c r="DAR11" s="31"/>
      <c r="DAS11" s="31"/>
      <c r="DAT11" s="31"/>
      <c r="DAU11" s="31"/>
      <c r="DAV11" s="31"/>
      <c r="DAW11" s="31"/>
      <c r="DAX11" s="31"/>
      <c r="DAY11" s="31"/>
      <c r="DAZ11" s="31"/>
      <c r="DBA11" s="31"/>
      <c r="DBB11" s="31"/>
      <c r="DBC11" s="31"/>
      <c r="DBD11" s="31"/>
      <c r="DBE11" s="31"/>
      <c r="DBF11" s="31"/>
      <c r="DBG11" s="31"/>
      <c r="DBH11" s="31"/>
      <c r="DBI11" s="31"/>
      <c r="DBJ11" s="31"/>
      <c r="DBK11" s="31"/>
      <c r="DBL11" s="31"/>
      <c r="DBM11" s="31"/>
      <c r="DBN11" s="31"/>
      <c r="DBO11" s="31"/>
      <c r="DBP11" s="31"/>
      <c r="DBQ11" s="31"/>
      <c r="DBR11" s="31"/>
      <c r="DBS11" s="31"/>
      <c r="DBT11" s="31"/>
      <c r="DBU11" s="31"/>
      <c r="DBV11" s="31"/>
      <c r="DBW11" s="31"/>
      <c r="DBX11" s="31"/>
      <c r="DBY11" s="31"/>
      <c r="DBZ11" s="31"/>
      <c r="DCA11" s="31"/>
      <c r="DCB11" s="31"/>
      <c r="DCC11" s="31"/>
      <c r="DCD11" s="31"/>
      <c r="DCE11" s="31"/>
      <c r="DCF11" s="31"/>
      <c r="DCG11" s="31"/>
      <c r="DCH11" s="31"/>
      <c r="DCI11" s="31"/>
      <c r="DCJ11" s="31"/>
      <c r="DCK11" s="31"/>
      <c r="DCL11" s="31"/>
      <c r="DCM11" s="31"/>
      <c r="DCN11" s="31"/>
      <c r="DCO11" s="31"/>
      <c r="DCP11" s="31"/>
      <c r="DCQ11" s="31"/>
      <c r="DCR11" s="31"/>
      <c r="DCS11" s="31"/>
      <c r="DCT11" s="31"/>
      <c r="DCU11" s="31"/>
      <c r="DCV11" s="31"/>
      <c r="DCW11" s="31"/>
      <c r="DCX11" s="31"/>
      <c r="DCY11" s="31"/>
      <c r="DCZ11" s="31"/>
      <c r="DDA11" s="31"/>
      <c r="DDB11" s="31"/>
      <c r="DDC11" s="31"/>
      <c r="DDD11" s="31"/>
      <c r="DDE11" s="31"/>
      <c r="DDF11" s="31"/>
      <c r="DDG11" s="31"/>
      <c r="DDH11" s="31"/>
      <c r="DDI11" s="31"/>
      <c r="DDJ11" s="31"/>
      <c r="DDK11" s="31"/>
      <c r="DDL11" s="31"/>
      <c r="DDM11" s="31"/>
      <c r="DDN11" s="31"/>
      <c r="DDO11" s="31"/>
      <c r="DDP11" s="31"/>
      <c r="DDQ11" s="31"/>
      <c r="DDR11" s="31"/>
      <c r="DDS11" s="31"/>
      <c r="DDT11" s="31"/>
      <c r="DDU11" s="31"/>
      <c r="DDV11" s="31"/>
      <c r="DDW11" s="31"/>
      <c r="DDX11" s="31"/>
      <c r="DDY11" s="31"/>
      <c r="DDZ11" s="31"/>
      <c r="DEA11" s="31"/>
      <c r="DEB11" s="31"/>
      <c r="DEC11" s="31"/>
      <c r="DED11" s="31"/>
      <c r="DEE11" s="31"/>
      <c r="DEF11" s="31"/>
      <c r="DEG11" s="31"/>
      <c r="DEH11" s="31"/>
      <c r="DEI11" s="31"/>
      <c r="DEJ11" s="31"/>
      <c r="DEK11" s="31"/>
      <c r="DEL11" s="31"/>
      <c r="DEM11" s="31"/>
      <c r="DEN11" s="31"/>
      <c r="DEO11" s="31"/>
      <c r="DEP11" s="31"/>
      <c r="DEQ11" s="31"/>
      <c r="DER11" s="31"/>
      <c r="DES11" s="31"/>
      <c r="DET11" s="31"/>
      <c r="DEU11" s="31"/>
      <c r="DEV11" s="31"/>
      <c r="DEW11" s="31"/>
      <c r="DEX11" s="31"/>
      <c r="DEY11" s="31"/>
      <c r="DEZ11" s="31"/>
      <c r="DFA11" s="31"/>
      <c r="DFB11" s="31"/>
      <c r="DFC11" s="31"/>
      <c r="DFD11" s="31"/>
      <c r="DFE11" s="31"/>
      <c r="DFF11" s="31"/>
      <c r="DFG11" s="31"/>
      <c r="DFH11" s="31"/>
      <c r="DFI11" s="31"/>
      <c r="DFJ11" s="31"/>
      <c r="DFK11" s="31"/>
      <c r="DFL11" s="31"/>
      <c r="DFM11" s="31"/>
      <c r="DFN11" s="31"/>
      <c r="DFO11" s="31"/>
      <c r="DFP11" s="31"/>
      <c r="DFQ11" s="31"/>
      <c r="DFR11" s="31"/>
      <c r="DFS11" s="31"/>
      <c r="DFT11" s="31"/>
      <c r="DFU11" s="31"/>
      <c r="DFV11" s="31"/>
      <c r="DFW11" s="31"/>
      <c r="DFX11" s="31"/>
      <c r="DFY11" s="31"/>
      <c r="DFZ11" s="31"/>
      <c r="DGA11" s="31"/>
      <c r="DGB11" s="31"/>
      <c r="DGC11" s="31"/>
      <c r="DGD11" s="31"/>
      <c r="DGE11" s="31"/>
      <c r="DGF11" s="31"/>
      <c r="DGG11" s="31"/>
      <c r="DGH11" s="31"/>
      <c r="DGI11" s="31"/>
      <c r="DGJ11" s="31"/>
      <c r="DGK11" s="31"/>
      <c r="DGL11" s="31"/>
      <c r="DGM11" s="31"/>
      <c r="DGN11" s="31"/>
      <c r="DGO11" s="31"/>
      <c r="DGP11" s="31"/>
      <c r="DGQ11" s="31"/>
      <c r="DGR11" s="31"/>
      <c r="DGS11" s="31"/>
      <c r="DGT11" s="31"/>
      <c r="DGU11" s="31"/>
      <c r="DGV11" s="31"/>
      <c r="DGW11" s="31"/>
      <c r="DGX11" s="31"/>
      <c r="DGY11" s="31"/>
      <c r="DGZ11" s="31"/>
      <c r="DHA11" s="31"/>
      <c r="DHB11" s="31"/>
      <c r="DHC11" s="31"/>
      <c r="DHD11" s="31"/>
      <c r="DHE11" s="31"/>
      <c r="DHF11" s="31"/>
      <c r="DHG11" s="31"/>
      <c r="DHH11" s="31"/>
      <c r="DHI11" s="31"/>
      <c r="DHJ11" s="31"/>
      <c r="DHK11" s="31"/>
      <c r="DHL11" s="31"/>
      <c r="DHM11" s="31"/>
      <c r="DHN11" s="31"/>
      <c r="DHO11" s="31"/>
      <c r="DHP11" s="31"/>
      <c r="DHQ11" s="31"/>
      <c r="DHR11" s="31"/>
      <c r="DHS11" s="31"/>
      <c r="DHT11" s="31"/>
      <c r="DHU11" s="31"/>
      <c r="DHV11" s="31"/>
      <c r="DHW11" s="31"/>
      <c r="DHX11" s="31"/>
      <c r="DHY11" s="31"/>
      <c r="DHZ11" s="31"/>
      <c r="DIA11" s="31"/>
      <c r="DIB11" s="31"/>
      <c r="DIC11" s="31"/>
      <c r="DID11" s="31"/>
      <c r="DIE11" s="31"/>
      <c r="DIF11" s="31"/>
      <c r="DIG11" s="31"/>
      <c r="DIH11" s="31"/>
      <c r="DII11" s="31"/>
      <c r="DIJ11" s="31"/>
      <c r="DIK11" s="31"/>
      <c r="DIL11" s="31"/>
      <c r="DIM11" s="31"/>
      <c r="DIN11" s="31"/>
      <c r="DIO11" s="31"/>
      <c r="DIP11" s="31"/>
      <c r="DIQ11" s="31"/>
      <c r="DIR11" s="31"/>
      <c r="DIS11" s="31"/>
      <c r="DIT11" s="31"/>
      <c r="DIU11" s="31"/>
      <c r="DIV11" s="31"/>
      <c r="DIW11" s="31"/>
      <c r="DIX11" s="31"/>
      <c r="DIY11" s="31"/>
      <c r="DIZ11" s="31"/>
      <c r="DJA11" s="31"/>
      <c r="DJB11" s="31"/>
      <c r="DJC11" s="31"/>
      <c r="DJD11" s="31"/>
      <c r="DJE11" s="31"/>
      <c r="DJF11" s="31"/>
      <c r="DJG11" s="31"/>
      <c r="DJH11" s="31"/>
      <c r="DJI11" s="31"/>
      <c r="DJJ11" s="31"/>
      <c r="DJK11" s="31"/>
      <c r="DJL11" s="31"/>
      <c r="DJM11" s="31"/>
      <c r="DJN11" s="31"/>
      <c r="DJO11" s="31"/>
      <c r="DJP11" s="31"/>
      <c r="DJQ11" s="31"/>
      <c r="DJR11" s="31"/>
      <c r="DJS11" s="31"/>
      <c r="DJT11" s="31"/>
      <c r="DJU11" s="31"/>
      <c r="DJV11" s="31"/>
      <c r="DJW11" s="31"/>
      <c r="DJX11" s="31"/>
      <c r="DJY11" s="31"/>
      <c r="DJZ11" s="31"/>
      <c r="DKA11" s="31"/>
      <c r="DKB11" s="31"/>
      <c r="DKC11" s="31"/>
      <c r="DKD11" s="31"/>
      <c r="DKE11" s="31"/>
      <c r="DKF11" s="31"/>
      <c r="DKG11" s="31"/>
      <c r="DKH11" s="31"/>
      <c r="DKI11" s="31"/>
      <c r="DKJ11" s="31"/>
      <c r="DKK11" s="31"/>
      <c r="DKL11" s="31"/>
      <c r="DKM11" s="31"/>
      <c r="DKN11" s="31"/>
      <c r="DKO11" s="31"/>
      <c r="DKP11" s="31"/>
      <c r="DKQ11" s="31"/>
      <c r="DKR11" s="31"/>
      <c r="DKS11" s="31"/>
      <c r="DKT11" s="31"/>
      <c r="DKU11" s="31"/>
      <c r="DKV11" s="31"/>
      <c r="DKW11" s="31"/>
      <c r="DKX11" s="31"/>
      <c r="DKY11" s="31"/>
      <c r="DKZ11" s="31"/>
      <c r="DLA11" s="31"/>
      <c r="DLB11" s="31"/>
      <c r="DLC11" s="31"/>
      <c r="DLD11" s="31"/>
      <c r="DLE11" s="31"/>
      <c r="DLF11" s="31"/>
      <c r="DLG11" s="31"/>
      <c r="DLH11" s="31"/>
      <c r="DLI11" s="31"/>
      <c r="DLJ11" s="31"/>
      <c r="DLK11" s="31"/>
      <c r="DLL11" s="31"/>
      <c r="DLM11" s="31"/>
      <c r="DLN11" s="31"/>
      <c r="DLO11" s="31"/>
      <c r="DLP11" s="31"/>
      <c r="DLQ11" s="31"/>
      <c r="DLR11" s="31"/>
      <c r="DLS11" s="31"/>
      <c r="DLT11" s="31"/>
      <c r="DLU11" s="31"/>
      <c r="DLV11" s="31"/>
      <c r="DLW11" s="31"/>
      <c r="DLX11" s="31"/>
      <c r="DLY11" s="31"/>
      <c r="DLZ11" s="31"/>
      <c r="DMA11" s="31"/>
      <c r="DMB11" s="31"/>
      <c r="DMC11" s="31"/>
      <c r="DMD11" s="31"/>
      <c r="DME11" s="31"/>
      <c r="DMF11" s="31"/>
      <c r="DMG11" s="31"/>
      <c r="DMH11" s="31"/>
      <c r="DMI11" s="31"/>
      <c r="DMJ11" s="31"/>
      <c r="DMK11" s="31"/>
      <c r="DML11" s="31"/>
      <c r="DMM11" s="31"/>
      <c r="DMN11" s="31"/>
      <c r="DMO11" s="31"/>
      <c r="DMP11" s="31"/>
      <c r="DMQ11" s="31"/>
      <c r="DMR11" s="31"/>
      <c r="DMS11" s="31"/>
      <c r="DMT11" s="31"/>
      <c r="DMU11" s="31"/>
      <c r="DMV11" s="31"/>
      <c r="DMW11" s="31"/>
      <c r="DMX11" s="31"/>
      <c r="DMY11" s="31"/>
      <c r="DMZ11" s="31"/>
      <c r="DNA11" s="31"/>
      <c r="DNB11" s="31"/>
      <c r="DNC11" s="31"/>
      <c r="DND11" s="31"/>
      <c r="DNE11" s="31"/>
      <c r="DNF11" s="31"/>
      <c r="DNG11" s="31"/>
      <c r="DNH11" s="31"/>
      <c r="DNI11" s="31"/>
      <c r="DNJ11" s="31"/>
      <c r="DNK11" s="31"/>
      <c r="DNL11" s="31"/>
      <c r="DNM11" s="31"/>
      <c r="DNN11" s="31"/>
      <c r="DNO11" s="31"/>
      <c r="DNP11" s="31"/>
      <c r="DNQ11" s="31"/>
      <c r="DNR11" s="31"/>
      <c r="DNS11" s="31"/>
      <c r="DNT11" s="31"/>
      <c r="DNU11" s="31"/>
      <c r="DNV11" s="31"/>
      <c r="DNW11" s="31"/>
      <c r="DNX11" s="31"/>
      <c r="DNY11" s="31"/>
      <c r="DNZ11" s="31"/>
      <c r="DOA11" s="31"/>
      <c r="DOB11" s="31"/>
      <c r="DOC11" s="31"/>
      <c r="DOD11" s="31"/>
      <c r="DOE11" s="31"/>
      <c r="DOF11" s="31"/>
      <c r="DOG11" s="31"/>
      <c r="DOH11" s="31"/>
      <c r="DOI11" s="31"/>
      <c r="DOJ11" s="31"/>
      <c r="DOK11" s="31"/>
      <c r="DOL11" s="31"/>
      <c r="DOM11" s="31"/>
      <c r="DON11" s="31"/>
      <c r="DOO11" s="31"/>
      <c r="DOP11" s="31"/>
      <c r="DOQ11" s="31"/>
      <c r="DOR11" s="31"/>
      <c r="DOS11" s="31"/>
      <c r="DOT11" s="31"/>
      <c r="DOU11" s="31"/>
      <c r="DOV11" s="31"/>
      <c r="DOW11" s="31"/>
      <c r="DOX11" s="31"/>
      <c r="DOY11" s="31"/>
      <c r="DOZ11" s="31"/>
      <c r="DPA11" s="31"/>
      <c r="DPB11" s="31"/>
      <c r="DPC11" s="31"/>
      <c r="DPD11" s="31"/>
      <c r="DPE11" s="31"/>
      <c r="DPF11" s="31"/>
      <c r="DPG11" s="31"/>
      <c r="DPH11" s="31"/>
      <c r="DPI11" s="31"/>
      <c r="DPJ11" s="31"/>
      <c r="DPK11" s="31"/>
      <c r="DPL11" s="31"/>
      <c r="DPM11" s="31"/>
      <c r="DPN11" s="31"/>
      <c r="DPO11" s="31"/>
      <c r="DPP11" s="31"/>
      <c r="DPQ11" s="31"/>
      <c r="DPR11" s="31"/>
      <c r="DPS11" s="31"/>
      <c r="DPT11" s="31"/>
      <c r="DPU11" s="31"/>
      <c r="DPV11" s="31"/>
      <c r="DPW11" s="31"/>
      <c r="DPX11" s="31"/>
      <c r="DPY11" s="31"/>
      <c r="DPZ11" s="31"/>
      <c r="DQA11" s="31"/>
      <c r="DQB11" s="31"/>
      <c r="DQC11" s="31"/>
      <c r="DQD11" s="31"/>
      <c r="DQE11" s="31"/>
      <c r="DQF11" s="31"/>
      <c r="DQG11" s="31"/>
      <c r="DQH11" s="31"/>
      <c r="DQI11" s="31"/>
      <c r="DQJ11" s="31"/>
      <c r="DQK11" s="31"/>
      <c r="DQL11" s="31"/>
      <c r="DQM11" s="31"/>
      <c r="DQN11" s="31"/>
      <c r="DQO11" s="31"/>
      <c r="DQP11" s="31"/>
      <c r="DQQ11" s="31"/>
      <c r="DQR11" s="31"/>
      <c r="DQS11" s="31"/>
      <c r="DQT11" s="31"/>
      <c r="DQU11" s="31"/>
      <c r="DQV11" s="31"/>
      <c r="DQW11" s="31"/>
      <c r="DQX11" s="31"/>
      <c r="DQY11" s="31"/>
      <c r="DQZ11" s="31"/>
      <c r="DRA11" s="31"/>
      <c r="DRB11" s="31"/>
      <c r="DRC11" s="31"/>
      <c r="DRD11" s="31"/>
      <c r="DRE11" s="31"/>
      <c r="DRF11" s="31"/>
      <c r="DRG11" s="31"/>
      <c r="DRH11" s="31"/>
      <c r="DRI11" s="31"/>
      <c r="DRJ11" s="31"/>
      <c r="DRK11" s="31"/>
      <c r="DRL11" s="31"/>
      <c r="DRM11" s="31"/>
      <c r="DRN11" s="31"/>
      <c r="DRO11" s="31"/>
      <c r="DRP11" s="31"/>
      <c r="DRQ11" s="31"/>
      <c r="DRR11" s="31"/>
      <c r="DRS11" s="31"/>
      <c r="DRT11" s="31"/>
      <c r="DRU11" s="31"/>
      <c r="DRV11" s="31"/>
      <c r="DRW11" s="31"/>
      <c r="DRX11" s="31"/>
      <c r="DRY11" s="31"/>
      <c r="DRZ11" s="31"/>
      <c r="DSA11" s="31"/>
      <c r="DSB11" s="31"/>
      <c r="DSC11" s="31"/>
      <c r="DSD11" s="31"/>
      <c r="DSE11" s="31"/>
      <c r="DSF11" s="31"/>
      <c r="DSG11" s="31"/>
      <c r="DSH11" s="31"/>
      <c r="DSI11" s="31"/>
      <c r="DSJ11" s="31"/>
      <c r="DSK11" s="31"/>
      <c r="DSL11" s="31"/>
      <c r="DSM11" s="31"/>
      <c r="DSN11" s="31"/>
      <c r="DSO11" s="31"/>
      <c r="DSP11" s="31"/>
      <c r="DSQ11" s="31"/>
      <c r="DSR11" s="31"/>
      <c r="DSS11" s="31"/>
      <c r="DST11" s="31"/>
      <c r="DSU11" s="31"/>
      <c r="DSV11" s="31"/>
      <c r="DSW11" s="31"/>
      <c r="DSX11" s="31"/>
      <c r="DSY11" s="31"/>
      <c r="DSZ11" s="31"/>
      <c r="DTA11" s="31"/>
      <c r="DTB11" s="31"/>
      <c r="DTC11" s="31"/>
      <c r="DTD11" s="31"/>
      <c r="DTE11" s="31"/>
      <c r="DTF11" s="31"/>
      <c r="DTG11" s="31"/>
      <c r="DTH11" s="31"/>
      <c r="DTI11" s="31"/>
      <c r="DTJ11" s="31"/>
      <c r="DTK11" s="31"/>
      <c r="DTL11" s="31"/>
      <c r="DTM11" s="31"/>
      <c r="DTN11" s="31"/>
      <c r="DTO11" s="31"/>
      <c r="DTP11" s="31"/>
      <c r="DTQ11" s="31"/>
      <c r="DTR11" s="31"/>
      <c r="DTS11" s="31"/>
      <c r="DTT11" s="31"/>
      <c r="DTU11" s="31"/>
      <c r="DTV11" s="31"/>
      <c r="DTW11" s="31"/>
      <c r="DTX11" s="31"/>
      <c r="DTY11" s="31"/>
      <c r="DTZ11" s="31"/>
      <c r="DUA11" s="31"/>
      <c r="DUB11" s="31"/>
      <c r="DUC11" s="31"/>
      <c r="DUD11" s="31"/>
      <c r="DUE11" s="31"/>
      <c r="DUF11" s="31"/>
      <c r="DUG11" s="31"/>
      <c r="DUH11" s="31"/>
      <c r="DUI11" s="31"/>
      <c r="DUJ11" s="31"/>
      <c r="DUK11" s="31"/>
      <c r="DUL11" s="31"/>
      <c r="DUM11" s="31"/>
      <c r="DUN11" s="31"/>
      <c r="DUO11" s="31"/>
      <c r="DUP11" s="31"/>
      <c r="DUQ11" s="31"/>
      <c r="DUR11" s="31"/>
      <c r="DUS11" s="31"/>
      <c r="DUT11" s="31"/>
      <c r="DUU11" s="31"/>
      <c r="DUV11" s="31"/>
      <c r="DUW11" s="31"/>
      <c r="DUX11" s="31"/>
      <c r="DUY11" s="31"/>
      <c r="DUZ11" s="31"/>
      <c r="DVA11" s="31"/>
      <c r="DVB11" s="31"/>
      <c r="DVC11" s="31"/>
      <c r="DVD11" s="31"/>
      <c r="DVE11" s="31"/>
      <c r="DVF11" s="31"/>
      <c r="DVG11" s="31"/>
      <c r="DVH11" s="31"/>
      <c r="DVI11" s="31"/>
      <c r="DVJ11" s="31"/>
      <c r="DVK11" s="31"/>
      <c r="DVL11" s="31"/>
      <c r="DVM11" s="31"/>
      <c r="DVN11" s="31"/>
      <c r="DVO11" s="31"/>
      <c r="DVP11" s="31"/>
      <c r="DVQ11" s="31"/>
      <c r="DVR11" s="31"/>
      <c r="DVS11" s="31"/>
      <c r="DVT11" s="31"/>
      <c r="DVU11" s="31"/>
      <c r="DVV11" s="31"/>
      <c r="DVW11" s="31"/>
      <c r="DVX11" s="31"/>
      <c r="DVY11" s="31"/>
      <c r="DVZ11" s="31"/>
      <c r="DWA11" s="31"/>
      <c r="DWB11" s="31"/>
      <c r="DWC11" s="31"/>
      <c r="DWD11" s="31"/>
      <c r="DWE11" s="31"/>
      <c r="DWF11" s="31"/>
      <c r="DWG11" s="31"/>
      <c r="DWH11" s="31"/>
      <c r="DWI11" s="31"/>
      <c r="DWJ11" s="31"/>
      <c r="DWK11" s="31"/>
      <c r="DWL11" s="31"/>
      <c r="DWM11" s="31"/>
      <c r="DWN11" s="31"/>
      <c r="DWO11" s="31"/>
      <c r="DWP11" s="31"/>
      <c r="DWQ11" s="31"/>
      <c r="DWR11" s="31"/>
      <c r="DWS11" s="31"/>
      <c r="DWT11" s="31"/>
      <c r="DWU11" s="31"/>
      <c r="DWV11" s="31"/>
      <c r="DWW11" s="31"/>
      <c r="DWX11" s="31"/>
      <c r="DWY11" s="31"/>
      <c r="DWZ11" s="31"/>
      <c r="DXA11" s="31"/>
      <c r="DXB11" s="31"/>
      <c r="DXC11" s="31"/>
      <c r="DXD11" s="31"/>
      <c r="DXE11" s="31"/>
      <c r="DXF11" s="31"/>
      <c r="DXG11" s="31"/>
      <c r="DXH11" s="31"/>
      <c r="DXI11" s="31"/>
      <c r="DXJ11" s="31"/>
      <c r="DXK11" s="31"/>
      <c r="DXL11" s="31"/>
      <c r="DXM11" s="31"/>
      <c r="DXN11" s="31"/>
      <c r="DXO11" s="31"/>
      <c r="DXP11" s="31"/>
      <c r="DXQ11" s="31"/>
      <c r="DXR11" s="31"/>
      <c r="DXS11" s="31"/>
      <c r="DXT11" s="31"/>
      <c r="DXU11" s="31"/>
      <c r="DXV11" s="31"/>
      <c r="DXW11" s="31"/>
      <c r="DXX11" s="31"/>
      <c r="DXY11" s="31"/>
      <c r="DXZ11" s="31"/>
      <c r="DYA11" s="31"/>
      <c r="DYB11" s="31"/>
      <c r="DYC11" s="31"/>
      <c r="DYD11" s="31"/>
      <c r="DYE11" s="31"/>
      <c r="DYF11" s="31"/>
      <c r="DYG11" s="31"/>
      <c r="DYH11" s="31"/>
      <c r="DYI11" s="31"/>
      <c r="DYJ11" s="31"/>
      <c r="DYK11" s="31"/>
      <c r="DYL11" s="31"/>
      <c r="DYM11" s="31"/>
      <c r="DYN11" s="31"/>
      <c r="DYO11" s="31"/>
      <c r="DYP11" s="31"/>
      <c r="DYQ11" s="31"/>
      <c r="DYR11" s="31"/>
      <c r="DYS11" s="31"/>
      <c r="DYT11" s="31"/>
      <c r="DYU11" s="31"/>
      <c r="DYV11" s="31"/>
      <c r="DYW11" s="31"/>
      <c r="DYX11" s="31"/>
      <c r="DYY11" s="31"/>
      <c r="DYZ11" s="31"/>
      <c r="DZA11" s="31"/>
      <c r="DZB11" s="31"/>
      <c r="DZC11" s="31"/>
      <c r="DZD11" s="31"/>
      <c r="DZE11" s="31"/>
      <c r="DZF11" s="31"/>
      <c r="DZG11" s="31"/>
      <c r="DZH11" s="31"/>
      <c r="DZI11" s="31"/>
      <c r="DZJ11" s="31"/>
      <c r="DZK11" s="31"/>
      <c r="DZL11" s="31"/>
      <c r="DZM11" s="31"/>
      <c r="DZN11" s="31"/>
      <c r="DZO11" s="31"/>
      <c r="DZP11" s="31"/>
      <c r="DZQ11" s="31"/>
      <c r="DZR11" s="31"/>
      <c r="DZS11" s="31"/>
      <c r="DZT11" s="31"/>
      <c r="DZU11" s="31"/>
      <c r="DZV11" s="31"/>
      <c r="DZW11" s="31"/>
      <c r="DZX11" s="31"/>
      <c r="DZY11" s="31"/>
      <c r="DZZ11" s="31"/>
      <c r="EAA11" s="31"/>
      <c r="EAB11" s="31"/>
      <c r="EAC11" s="31"/>
      <c r="EAD11" s="31"/>
      <c r="EAE11" s="31"/>
      <c r="EAF11" s="31"/>
      <c r="EAG11" s="31"/>
      <c r="EAH11" s="31"/>
      <c r="EAI11" s="31"/>
      <c r="EAJ11" s="31"/>
      <c r="EAK11" s="31"/>
      <c r="EAL11" s="31"/>
      <c r="EAM11" s="31"/>
      <c r="EAN11" s="31"/>
      <c r="EAO11" s="31"/>
      <c r="EAP11" s="31"/>
      <c r="EAQ11" s="31"/>
      <c r="EAR11" s="31"/>
      <c r="EAS11" s="31"/>
      <c r="EAT11" s="31"/>
      <c r="EAU11" s="31"/>
      <c r="EAV11" s="31"/>
      <c r="EAW11" s="31"/>
      <c r="EAX11" s="31"/>
      <c r="EAY11" s="31"/>
      <c r="EAZ11" s="31"/>
      <c r="EBA11" s="31"/>
      <c r="EBB11" s="31"/>
      <c r="EBC11" s="31"/>
      <c r="EBD11" s="31"/>
      <c r="EBE11" s="31"/>
      <c r="EBF11" s="31"/>
      <c r="EBG11" s="31"/>
      <c r="EBH11" s="31"/>
      <c r="EBI11" s="31"/>
      <c r="EBJ11" s="31"/>
      <c r="EBK11" s="31"/>
      <c r="EBL11" s="31"/>
      <c r="EBM11" s="31"/>
      <c r="EBN11" s="31"/>
      <c r="EBO11" s="31"/>
      <c r="EBP11" s="31"/>
      <c r="EBQ11" s="31"/>
      <c r="EBR11" s="31"/>
      <c r="EBS11" s="31"/>
      <c r="EBT11" s="31"/>
      <c r="EBU11" s="31"/>
      <c r="EBV11" s="31"/>
      <c r="EBW11" s="31"/>
      <c r="EBX11" s="31"/>
      <c r="EBY11" s="31"/>
      <c r="EBZ11" s="31"/>
      <c r="ECA11" s="31"/>
      <c r="ECB11" s="31"/>
      <c r="ECC11" s="31"/>
      <c r="ECD11" s="31"/>
      <c r="ECE11" s="31"/>
      <c r="ECF11" s="31"/>
      <c r="ECG11" s="31"/>
      <c r="ECH11" s="31"/>
      <c r="ECI11" s="31"/>
      <c r="ECJ11" s="31"/>
      <c r="ECK11" s="31"/>
      <c r="ECL11" s="31"/>
      <c r="ECM11" s="31"/>
      <c r="ECN11" s="31"/>
      <c r="ECO11" s="31"/>
      <c r="ECP11" s="31"/>
      <c r="ECQ11" s="31"/>
      <c r="ECR11" s="31"/>
      <c r="ECS11" s="31"/>
      <c r="ECT11" s="31"/>
      <c r="ECU11" s="31"/>
      <c r="ECV11" s="31"/>
      <c r="ECW11" s="31"/>
      <c r="ECX11" s="31"/>
      <c r="ECY11" s="31"/>
      <c r="ECZ11" s="31"/>
      <c r="EDA11" s="31"/>
      <c r="EDB11" s="31"/>
      <c r="EDC11" s="31"/>
      <c r="EDD11" s="31"/>
      <c r="EDE11" s="31"/>
      <c r="EDF11" s="31"/>
      <c r="EDG11" s="31"/>
      <c r="EDH11" s="31"/>
      <c r="EDI11" s="31"/>
      <c r="EDJ11" s="31"/>
      <c r="EDK11" s="31"/>
      <c r="EDL11" s="31"/>
      <c r="EDM11" s="31"/>
      <c r="EDN11" s="31"/>
      <c r="EDO11" s="31"/>
      <c r="EDP11" s="31"/>
      <c r="EDQ11" s="31"/>
      <c r="EDR11" s="31"/>
      <c r="EDS11" s="31"/>
      <c r="EDT11" s="31"/>
      <c r="EDU11" s="31"/>
      <c r="EDV11" s="31"/>
      <c r="EDW11" s="31"/>
      <c r="EDX11" s="31"/>
      <c r="EDY11" s="31"/>
      <c r="EDZ11" s="31"/>
      <c r="EEA11" s="31"/>
      <c r="EEB11" s="31"/>
      <c r="EEC11" s="31"/>
      <c r="EED11" s="31"/>
      <c r="EEE11" s="31"/>
      <c r="EEF11" s="31"/>
      <c r="EEG11" s="31"/>
      <c r="EEH11" s="31"/>
      <c r="EEI11" s="31"/>
      <c r="EEJ11" s="31"/>
      <c r="EEK11" s="31"/>
      <c r="EEL11" s="31"/>
      <c r="EEM11" s="31"/>
      <c r="EEN11" s="31"/>
      <c r="EEO11" s="31"/>
      <c r="EEP11" s="31"/>
      <c r="EEQ11" s="31"/>
      <c r="EER11" s="31"/>
      <c r="EES11" s="31"/>
      <c r="EET11" s="31"/>
      <c r="EEU11" s="31"/>
      <c r="EEV11" s="31"/>
      <c r="EEW11" s="31"/>
      <c r="EEX11" s="31"/>
      <c r="EEY11" s="31"/>
      <c r="EEZ11" s="31"/>
      <c r="EFA11" s="31"/>
      <c r="EFB11" s="31"/>
      <c r="EFC11" s="31"/>
      <c r="EFD11" s="31"/>
      <c r="EFE11" s="31"/>
      <c r="EFF11" s="31"/>
      <c r="EFG11" s="31"/>
      <c r="EFH11" s="31"/>
      <c r="EFI11" s="31"/>
      <c r="EFJ11" s="31"/>
      <c r="EFK11" s="31"/>
      <c r="EFL11" s="31"/>
      <c r="EFM11" s="31"/>
      <c r="EFN11" s="31"/>
      <c r="EFO11" s="31"/>
      <c r="EFP11" s="31"/>
      <c r="EFQ11" s="31"/>
      <c r="EFR11" s="31"/>
      <c r="EFS11" s="31"/>
      <c r="EFT11" s="31"/>
      <c r="EFU11" s="31"/>
      <c r="EFV11" s="31"/>
      <c r="EFW11" s="31"/>
      <c r="EFX11" s="31"/>
      <c r="EFY11" s="31"/>
      <c r="EFZ11" s="31"/>
      <c r="EGA11" s="31"/>
      <c r="EGB11" s="31"/>
      <c r="EGC11" s="31"/>
      <c r="EGD11" s="31"/>
      <c r="EGE11" s="31"/>
      <c r="EGF11" s="31"/>
      <c r="EGG11" s="31"/>
      <c r="EGH11" s="31"/>
      <c r="EGI11" s="31"/>
      <c r="EGJ11" s="31"/>
      <c r="EGK11" s="31"/>
      <c r="EGL11" s="31"/>
      <c r="EGM11" s="31"/>
      <c r="EGN11" s="31"/>
      <c r="EGO11" s="31"/>
      <c r="EGP11" s="31"/>
      <c r="EGQ11" s="31"/>
      <c r="EGR11" s="31"/>
      <c r="EGS11" s="31"/>
      <c r="EGT11" s="31"/>
      <c r="EGU11" s="31"/>
      <c r="EGV11" s="31"/>
      <c r="EGW11" s="31"/>
      <c r="EGX11" s="31"/>
      <c r="EGY11" s="31"/>
      <c r="EGZ11" s="31"/>
      <c r="EHA11" s="31"/>
      <c r="EHB11" s="31"/>
      <c r="EHC11" s="31"/>
      <c r="EHD11" s="31"/>
      <c r="EHE11" s="31"/>
      <c r="EHF11" s="31"/>
      <c r="EHG11" s="31"/>
      <c r="EHH11" s="31"/>
      <c r="EHI11" s="31"/>
      <c r="EHJ11" s="31"/>
      <c r="EHK11" s="31"/>
      <c r="EHL11" s="31"/>
      <c r="EHM11" s="31"/>
      <c r="EHN11" s="31"/>
      <c r="EHO11" s="31"/>
      <c r="EHP11" s="31"/>
      <c r="EHQ11" s="31"/>
      <c r="EHR11" s="31"/>
      <c r="EHS11" s="31"/>
      <c r="EHT11" s="31"/>
      <c r="EHU11" s="31"/>
      <c r="EHV11" s="31"/>
      <c r="EHW11" s="31"/>
      <c r="EHX11" s="31"/>
      <c r="EHY11" s="31"/>
      <c r="EHZ11" s="31"/>
      <c r="EIA11" s="31"/>
      <c r="EIB11" s="31"/>
      <c r="EIC11" s="31"/>
      <c r="EID11" s="31"/>
      <c r="EIE11" s="31"/>
      <c r="EIF11" s="31"/>
      <c r="EIG11" s="31"/>
      <c r="EIH11" s="31"/>
      <c r="EII11" s="31"/>
      <c r="EIJ11" s="31"/>
      <c r="EIK11" s="31"/>
      <c r="EIL11" s="31"/>
      <c r="EIM11" s="31"/>
      <c r="EIN11" s="31"/>
      <c r="EIO11" s="31"/>
      <c r="EIP11" s="31"/>
      <c r="EIQ11" s="31"/>
      <c r="EIR11" s="31"/>
      <c r="EIS11" s="31"/>
      <c r="EIT11" s="31"/>
      <c r="EIU11" s="31"/>
      <c r="EIV11" s="31"/>
      <c r="EIW11" s="31"/>
      <c r="EIX11" s="31"/>
      <c r="EIY11" s="31"/>
      <c r="EIZ11" s="31"/>
      <c r="EJA11" s="31"/>
      <c r="EJB11" s="31"/>
      <c r="EJC11" s="31"/>
      <c r="EJD11" s="31"/>
      <c r="EJE11" s="31"/>
      <c r="EJF11" s="31"/>
      <c r="EJG11" s="31"/>
      <c r="EJH11" s="31"/>
      <c r="EJI11" s="31"/>
      <c r="EJJ11" s="31"/>
      <c r="EJK11" s="31"/>
      <c r="EJL11" s="31"/>
      <c r="EJM11" s="31"/>
      <c r="EJN11" s="31"/>
      <c r="EJO11" s="31"/>
      <c r="EJP11" s="31"/>
      <c r="EJQ11" s="31"/>
      <c r="EJR11" s="31"/>
      <c r="EJS11" s="31"/>
      <c r="EJT11" s="31"/>
      <c r="EJU11" s="31"/>
      <c r="EJV11" s="31"/>
      <c r="EJW11" s="31"/>
      <c r="EJX11" s="31"/>
      <c r="EJY11" s="31"/>
      <c r="EJZ11" s="31"/>
      <c r="EKA11" s="31"/>
      <c r="EKB11" s="31"/>
      <c r="EKC11" s="31"/>
      <c r="EKD11" s="31"/>
      <c r="EKE11" s="31"/>
      <c r="EKF11" s="31"/>
      <c r="EKG11" s="31"/>
      <c r="EKH11" s="31"/>
      <c r="EKI11" s="31"/>
      <c r="EKJ11" s="31"/>
      <c r="EKK11" s="31"/>
      <c r="EKL11" s="31"/>
      <c r="EKM11" s="31"/>
      <c r="EKN11" s="31"/>
      <c r="EKO11" s="31"/>
      <c r="EKP11" s="31"/>
      <c r="EKQ11" s="31"/>
      <c r="EKR11" s="31"/>
      <c r="EKS11" s="31"/>
      <c r="EKT11" s="31"/>
      <c r="EKU11" s="31"/>
      <c r="EKV11" s="31"/>
      <c r="EKW11" s="31"/>
      <c r="EKX11" s="31"/>
      <c r="EKY11" s="31"/>
      <c r="EKZ11" s="31"/>
      <c r="ELA11" s="31"/>
      <c r="ELB11" s="31"/>
      <c r="ELC11" s="31"/>
      <c r="ELD11" s="31"/>
      <c r="ELE11" s="31"/>
      <c r="ELF11" s="31"/>
      <c r="ELG11" s="31"/>
      <c r="ELH11" s="31"/>
      <c r="ELI11" s="31"/>
      <c r="ELJ11" s="31"/>
      <c r="ELK11" s="31"/>
      <c r="ELL11" s="31"/>
      <c r="ELM11" s="31"/>
      <c r="ELN11" s="31"/>
      <c r="ELO11" s="31"/>
      <c r="ELP11" s="31"/>
      <c r="ELQ11" s="31"/>
      <c r="ELR11" s="31"/>
      <c r="ELS11" s="31"/>
      <c r="ELT11" s="31"/>
      <c r="ELU11" s="31"/>
      <c r="ELV11" s="31"/>
      <c r="ELW11" s="31"/>
      <c r="ELX11" s="31"/>
      <c r="ELY11" s="31"/>
      <c r="ELZ11" s="31"/>
      <c r="EMA11" s="31"/>
      <c r="EMB11" s="31"/>
      <c r="EMC11" s="31"/>
      <c r="EMD11" s="31"/>
      <c r="EME11" s="31"/>
      <c r="EMF11" s="31"/>
      <c r="EMG11" s="31"/>
      <c r="EMH11" s="31"/>
      <c r="EMI11" s="31"/>
      <c r="EMJ11" s="31"/>
      <c r="EMK11" s="31"/>
      <c r="EML11" s="31"/>
      <c r="EMM11" s="31"/>
      <c r="EMN11" s="31"/>
      <c r="EMO11" s="31"/>
      <c r="EMP11" s="31"/>
      <c r="EMQ11" s="31"/>
      <c r="EMR11" s="31"/>
      <c r="EMS11" s="31"/>
      <c r="EMT11" s="31"/>
      <c r="EMU11" s="31"/>
      <c r="EMV11" s="31"/>
      <c r="EMW11" s="31"/>
      <c r="EMX11" s="31"/>
      <c r="EMY11" s="31"/>
      <c r="EMZ11" s="31"/>
      <c r="ENA11" s="31"/>
      <c r="ENB11" s="31"/>
      <c r="ENC11" s="31"/>
      <c r="END11" s="31"/>
      <c r="ENE11" s="31"/>
      <c r="ENF11" s="31"/>
      <c r="ENG11" s="31"/>
      <c r="ENH11" s="31"/>
      <c r="ENI11" s="31"/>
      <c r="ENJ11" s="31"/>
      <c r="ENK11" s="31"/>
      <c r="ENL11" s="31"/>
      <c r="ENM11" s="31"/>
      <c r="ENN11" s="31"/>
      <c r="ENO11" s="31"/>
      <c r="ENP11" s="31"/>
      <c r="ENQ11" s="31"/>
      <c r="ENR11" s="31"/>
      <c r="ENS11" s="31"/>
      <c r="ENT11" s="31"/>
      <c r="ENU11" s="31"/>
      <c r="ENV11" s="31"/>
      <c r="ENW11" s="31"/>
      <c r="ENX11" s="31"/>
      <c r="ENY11" s="31"/>
      <c r="ENZ11" s="31"/>
      <c r="EOA11" s="31"/>
      <c r="EOB11" s="31"/>
      <c r="EOC11" s="31"/>
      <c r="EOD11" s="31"/>
      <c r="EOE11" s="31"/>
      <c r="EOF11" s="31"/>
      <c r="EOG11" s="31"/>
      <c r="EOH11" s="31"/>
      <c r="EOI11" s="31"/>
      <c r="EOJ11" s="31"/>
      <c r="EOK11" s="31"/>
      <c r="EOL11" s="31"/>
      <c r="EOM11" s="31"/>
      <c r="EON11" s="31"/>
      <c r="EOO11" s="31"/>
      <c r="EOP11" s="31"/>
      <c r="EOQ11" s="31"/>
      <c r="EOR11" s="31"/>
      <c r="EOS11" s="31"/>
      <c r="EOT11" s="31"/>
      <c r="EOU11" s="31"/>
      <c r="EOV11" s="31"/>
      <c r="EOW11" s="31"/>
      <c r="EOX11" s="31"/>
      <c r="EOY11" s="31"/>
      <c r="EOZ11" s="31"/>
      <c r="EPA11" s="31"/>
      <c r="EPB11" s="31"/>
      <c r="EPC11" s="31"/>
      <c r="EPD11" s="31"/>
      <c r="EPE11" s="31"/>
      <c r="EPF11" s="31"/>
      <c r="EPG11" s="31"/>
      <c r="EPH11" s="31"/>
      <c r="EPI11" s="31"/>
      <c r="EPJ11" s="31"/>
      <c r="EPK11" s="31"/>
      <c r="EPL11" s="31"/>
      <c r="EPM11" s="31"/>
      <c r="EPN11" s="31"/>
      <c r="EPO11" s="31"/>
      <c r="EPP11" s="31"/>
      <c r="EPQ11" s="31"/>
      <c r="EPR11" s="31"/>
      <c r="EPS11" s="31"/>
      <c r="EPT11" s="31"/>
      <c r="EPU11" s="31"/>
      <c r="EPV11" s="31"/>
      <c r="EPW11" s="31"/>
      <c r="EPX11" s="31"/>
      <c r="EPY11" s="31"/>
      <c r="EPZ11" s="31"/>
      <c r="EQA11" s="31"/>
      <c r="EQB11" s="31"/>
      <c r="EQC11" s="31"/>
      <c r="EQD11" s="31"/>
      <c r="EQE11" s="31"/>
      <c r="EQF11" s="31"/>
      <c r="EQG11" s="31"/>
      <c r="EQH11" s="31"/>
      <c r="EQI11" s="31"/>
      <c r="EQJ11" s="31"/>
      <c r="EQK11" s="31"/>
      <c r="EQL11" s="31"/>
      <c r="EQM11" s="31"/>
      <c r="EQN11" s="31"/>
      <c r="EQO11" s="31"/>
      <c r="EQP11" s="31"/>
      <c r="EQQ11" s="31"/>
      <c r="EQR11" s="31"/>
      <c r="EQS11" s="31"/>
      <c r="EQT11" s="31"/>
      <c r="EQU11" s="31"/>
      <c r="EQV11" s="31"/>
      <c r="EQW11" s="31"/>
      <c r="EQX11" s="31"/>
      <c r="EQY11" s="31"/>
      <c r="EQZ11" s="31"/>
      <c r="ERA11" s="31"/>
      <c r="ERB11" s="31"/>
      <c r="ERC11" s="31"/>
      <c r="ERD11" s="31"/>
      <c r="ERE11" s="31"/>
      <c r="ERF11" s="31"/>
      <c r="ERG11" s="31"/>
      <c r="ERH11" s="31"/>
      <c r="ERI11" s="31"/>
      <c r="ERJ11" s="31"/>
      <c r="ERK11" s="31"/>
      <c r="ERL11" s="31"/>
      <c r="ERM11" s="31"/>
      <c r="ERN11" s="31"/>
      <c r="ERO11" s="31"/>
      <c r="ERP11" s="31"/>
      <c r="ERQ11" s="31"/>
      <c r="ERR11" s="31"/>
      <c r="ERS11" s="31"/>
      <c r="ERT11" s="31"/>
      <c r="ERU11" s="31"/>
      <c r="ERV11" s="31"/>
      <c r="ERW11" s="31"/>
      <c r="ERX11" s="31"/>
      <c r="ERY11" s="31"/>
      <c r="ERZ11" s="31"/>
      <c r="ESA11" s="31"/>
      <c r="ESB11" s="31"/>
      <c r="ESC11" s="31"/>
      <c r="ESD11" s="31"/>
      <c r="ESE11" s="31"/>
      <c r="ESF11" s="31"/>
      <c r="ESG11" s="31"/>
      <c r="ESH11" s="31"/>
      <c r="ESI11" s="31"/>
      <c r="ESJ11" s="31"/>
      <c r="ESK11" s="31"/>
      <c r="ESL11" s="31"/>
      <c r="ESM11" s="31"/>
      <c r="ESN11" s="31"/>
      <c r="ESO11" s="31"/>
      <c r="ESP11" s="31"/>
      <c r="ESQ11" s="31"/>
      <c r="ESR11" s="31"/>
      <c r="ESS11" s="31"/>
      <c r="EST11" s="31"/>
      <c r="ESU11" s="31"/>
      <c r="ESV11" s="31"/>
      <c r="ESW11" s="31"/>
      <c r="ESX11" s="31"/>
      <c r="ESY11" s="31"/>
      <c r="ESZ11" s="31"/>
      <c r="ETA11" s="31"/>
      <c r="ETB11" s="31"/>
      <c r="ETC11" s="31"/>
      <c r="ETD11" s="31"/>
      <c r="ETE11" s="31"/>
      <c r="ETF11" s="31"/>
      <c r="ETG11" s="31"/>
      <c r="ETH11" s="31"/>
      <c r="ETI11" s="31"/>
      <c r="ETJ11" s="31"/>
      <c r="ETK11" s="31"/>
      <c r="ETL11" s="31"/>
      <c r="ETM11" s="31"/>
      <c r="ETN11" s="31"/>
      <c r="ETO11" s="31"/>
      <c r="ETP11" s="31"/>
      <c r="ETQ11" s="31"/>
      <c r="ETR11" s="31"/>
      <c r="ETS11" s="31"/>
      <c r="ETT11" s="31"/>
      <c r="ETU11" s="31"/>
      <c r="ETV11" s="31"/>
      <c r="ETW11" s="31"/>
      <c r="ETX11" s="31"/>
      <c r="ETY11" s="31"/>
      <c r="ETZ11" s="31"/>
      <c r="EUA11" s="31"/>
      <c r="EUB11" s="31"/>
      <c r="EUC11" s="31"/>
      <c r="EUD11" s="31"/>
      <c r="EUE11" s="31"/>
      <c r="EUF11" s="31"/>
      <c r="EUG11" s="31"/>
      <c r="EUH11" s="31"/>
      <c r="EUI11" s="31"/>
      <c r="EUJ11" s="31"/>
      <c r="EUK11" s="31"/>
      <c r="EUL11" s="31"/>
      <c r="EUM11" s="31"/>
      <c r="EUN11" s="31"/>
      <c r="EUO11" s="31"/>
      <c r="EUP11" s="31"/>
      <c r="EUQ11" s="31"/>
      <c r="EUR11" s="31"/>
      <c r="EUS11" s="31"/>
      <c r="EUT11" s="31"/>
      <c r="EUU11" s="31"/>
      <c r="EUV11" s="31"/>
      <c r="EUW11" s="31"/>
      <c r="EUX11" s="31"/>
      <c r="EUY11" s="31"/>
      <c r="EUZ11" s="31"/>
      <c r="EVA11" s="31"/>
      <c r="EVB11" s="31"/>
      <c r="EVC11" s="31"/>
      <c r="EVD11" s="31"/>
      <c r="EVE11" s="31"/>
      <c r="EVF11" s="31"/>
      <c r="EVG11" s="31"/>
      <c r="EVH11" s="31"/>
      <c r="EVI11" s="31"/>
      <c r="EVJ11" s="31"/>
      <c r="EVK11" s="31"/>
      <c r="EVL11" s="31"/>
      <c r="EVM11" s="31"/>
      <c r="EVN11" s="31"/>
      <c r="EVO11" s="31"/>
      <c r="EVP11" s="31"/>
      <c r="EVQ11" s="31"/>
      <c r="EVR11" s="31"/>
      <c r="EVS11" s="31"/>
      <c r="EVT11" s="31"/>
      <c r="EVU11" s="31"/>
      <c r="EVV11" s="31"/>
      <c r="EVW11" s="31"/>
      <c r="EVX11" s="31"/>
      <c r="EVY11" s="31"/>
      <c r="EVZ11" s="31"/>
      <c r="EWA11" s="31"/>
      <c r="EWB11" s="31"/>
      <c r="EWC11" s="31"/>
      <c r="EWD11" s="31"/>
      <c r="EWE11" s="31"/>
      <c r="EWF11" s="31"/>
      <c r="EWG11" s="31"/>
      <c r="EWH11" s="31"/>
      <c r="EWI11" s="31"/>
      <c r="EWJ11" s="31"/>
      <c r="EWK11" s="31"/>
      <c r="EWL11" s="31"/>
      <c r="EWM11" s="31"/>
      <c r="EWN11" s="31"/>
      <c r="EWO11" s="31"/>
      <c r="EWP11" s="31"/>
      <c r="EWQ11" s="31"/>
      <c r="EWR11" s="31"/>
      <c r="EWS11" s="31"/>
      <c r="EWT11" s="31"/>
      <c r="EWU11" s="31"/>
      <c r="EWV11" s="31"/>
      <c r="EWW11" s="31"/>
      <c r="EWX11" s="31"/>
      <c r="EWY11" s="31"/>
      <c r="EWZ11" s="31"/>
      <c r="EXA11" s="31"/>
      <c r="EXB11" s="31"/>
      <c r="EXC11" s="31"/>
      <c r="EXD11" s="31"/>
      <c r="EXE11" s="31"/>
      <c r="EXF11" s="31"/>
      <c r="EXG11" s="31"/>
      <c r="EXH11" s="31"/>
      <c r="EXI11" s="31"/>
      <c r="EXJ11" s="31"/>
      <c r="EXK11" s="31"/>
      <c r="EXL11" s="31"/>
      <c r="EXM11" s="31"/>
      <c r="EXN11" s="31"/>
      <c r="EXO11" s="31"/>
      <c r="EXP11" s="31"/>
      <c r="EXQ11" s="31"/>
      <c r="EXR11" s="31"/>
      <c r="EXS11" s="31"/>
      <c r="EXT11" s="31"/>
      <c r="EXU11" s="31"/>
      <c r="EXV11" s="31"/>
      <c r="EXW11" s="31"/>
      <c r="EXX11" s="31"/>
      <c r="EXY11" s="31"/>
      <c r="EXZ11" s="31"/>
      <c r="EYA11" s="31"/>
      <c r="EYB11" s="31"/>
      <c r="EYC11" s="31"/>
      <c r="EYD11" s="31"/>
      <c r="EYE11" s="31"/>
      <c r="EYF11" s="31"/>
      <c r="EYG11" s="31"/>
      <c r="EYH11" s="31"/>
      <c r="EYI11" s="31"/>
      <c r="EYJ11" s="31"/>
      <c r="EYK11" s="31"/>
      <c r="EYL11" s="31"/>
      <c r="EYM11" s="31"/>
      <c r="EYN11" s="31"/>
      <c r="EYO11" s="31"/>
      <c r="EYP11" s="31"/>
      <c r="EYQ11" s="31"/>
      <c r="EYR11" s="31"/>
      <c r="EYS11" s="31"/>
      <c r="EYT11" s="31"/>
      <c r="EYU11" s="31"/>
      <c r="EYV11" s="31"/>
      <c r="EYW11" s="31"/>
      <c r="EYX11" s="31"/>
      <c r="EYY11" s="31"/>
      <c r="EYZ11" s="31"/>
      <c r="EZA11" s="31"/>
      <c r="EZB11" s="31"/>
      <c r="EZC11" s="31"/>
      <c r="EZD11" s="31"/>
      <c r="EZE11" s="31"/>
      <c r="EZF11" s="31"/>
      <c r="EZG11" s="31"/>
      <c r="EZH11" s="31"/>
      <c r="EZI11" s="31"/>
      <c r="EZJ11" s="31"/>
      <c r="EZK11" s="31"/>
      <c r="EZL11" s="31"/>
      <c r="EZM11" s="31"/>
      <c r="EZN11" s="31"/>
      <c r="EZO11" s="31"/>
      <c r="EZP11" s="31"/>
      <c r="EZQ11" s="31"/>
      <c r="EZR11" s="31"/>
      <c r="EZS11" s="31"/>
      <c r="EZT11" s="31"/>
      <c r="EZU11" s="31"/>
      <c r="EZV11" s="31"/>
      <c r="EZW11" s="31"/>
      <c r="EZX11" s="31"/>
      <c r="EZY11" s="31"/>
      <c r="EZZ11" s="31"/>
      <c r="FAA11" s="31"/>
      <c r="FAB11" s="31"/>
      <c r="FAC11" s="31"/>
      <c r="FAD11" s="31"/>
      <c r="FAE11" s="31"/>
      <c r="FAF11" s="31"/>
      <c r="FAG11" s="31"/>
      <c r="FAH11" s="31"/>
      <c r="FAI11" s="31"/>
      <c r="FAJ11" s="31"/>
      <c r="FAK11" s="31"/>
      <c r="FAL11" s="31"/>
      <c r="FAM11" s="31"/>
      <c r="FAN11" s="31"/>
      <c r="FAO11" s="31"/>
      <c r="FAP11" s="31"/>
      <c r="FAQ11" s="31"/>
      <c r="FAR11" s="31"/>
      <c r="FAS11" s="31"/>
      <c r="FAT11" s="31"/>
      <c r="FAU11" s="31"/>
      <c r="FAV11" s="31"/>
      <c r="FAW11" s="31"/>
      <c r="FAX11" s="31"/>
      <c r="FAY11" s="31"/>
      <c r="FAZ11" s="31"/>
      <c r="FBA11" s="31"/>
      <c r="FBB11" s="31"/>
      <c r="FBC11" s="31"/>
      <c r="FBD11" s="31"/>
      <c r="FBE11" s="31"/>
      <c r="FBF11" s="31"/>
      <c r="FBG11" s="31"/>
      <c r="FBH11" s="31"/>
      <c r="FBI11" s="31"/>
      <c r="FBJ11" s="31"/>
      <c r="FBK11" s="31"/>
      <c r="FBL11" s="31"/>
      <c r="FBM11" s="31"/>
      <c r="FBN11" s="31"/>
      <c r="FBO11" s="31"/>
      <c r="FBP11" s="31"/>
      <c r="FBQ11" s="31"/>
      <c r="FBR11" s="31"/>
      <c r="FBS11" s="31"/>
      <c r="FBT11" s="31"/>
      <c r="FBU11" s="31"/>
      <c r="FBV11" s="31"/>
      <c r="FBW11" s="31"/>
      <c r="FBX11" s="31"/>
      <c r="FBY11" s="31"/>
      <c r="FBZ11" s="31"/>
      <c r="FCA11" s="31"/>
      <c r="FCB11" s="31"/>
      <c r="FCC11" s="31"/>
      <c r="FCD11" s="31"/>
      <c r="FCE11" s="31"/>
      <c r="FCF11" s="31"/>
      <c r="FCG11" s="31"/>
      <c r="FCH11" s="31"/>
      <c r="FCI11" s="31"/>
      <c r="FCJ11" s="31"/>
      <c r="FCK11" s="31"/>
      <c r="FCL11" s="31"/>
      <c r="FCM11" s="31"/>
      <c r="FCN11" s="31"/>
      <c r="FCO11" s="31"/>
      <c r="FCP11" s="31"/>
      <c r="FCQ11" s="31"/>
      <c r="FCR11" s="31"/>
      <c r="FCS11" s="31"/>
      <c r="FCT11" s="31"/>
      <c r="FCU11" s="31"/>
      <c r="FCV11" s="31"/>
      <c r="FCW11" s="31"/>
      <c r="FCX11" s="31"/>
      <c r="FCY11" s="31"/>
      <c r="FCZ11" s="31"/>
      <c r="FDA11" s="31"/>
      <c r="FDB11" s="31"/>
      <c r="FDC11" s="31"/>
      <c r="FDD11" s="31"/>
      <c r="FDE11" s="31"/>
      <c r="FDF11" s="31"/>
      <c r="FDG11" s="31"/>
      <c r="FDH11" s="31"/>
      <c r="FDI11" s="31"/>
      <c r="FDJ11" s="31"/>
      <c r="FDK11" s="31"/>
      <c r="FDL11" s="31"/>
      <c r="FDM11" s="31"/>
      <c r="FDN11" s="31"/>
      <c r="FDO11" s="31"/>
      <c r="FDP11" s="31"/>
      <c r="FDQ11" s="31"/>
      <c r="FDR11" s="31"/>
      <c r="FDS11" s="31"/>
      <c r="FDT11" s="31"/>
      <c r="FDU11" s="31"/>
      <c r="FDV11" s="31"/>
      <c r="FDW11" s="31"/>
      <c r="FDX11" s="31"/>
      <c r="FDY11" s="31"/>
      <c r="FDZ11" s="31"/>
      <c r="FEA11" s="31"/>
      <c r="FEB11" s="31"/>
      <c r="FEC11" s="31"/>
      <c r="FED11" s="31"/>
      <c r="FEE11" s="31"/>
      <c r="FEF11" s="31"/>
      <c r="FEG11" s="31"/>
      <c r="FEH11" s="31"/>
      <c r="FEI11" s="31"/>
      <c r="FEJ11" s="31"/>
      <c r="FEK11" s="31"/>
      <c r="FEL11" s="31"/>
      <c r="FEM11" s="31"/>
      <c r="FEN11" s="31"/>
      <c r="FEO11" s="31"/>
      <c r="FEP11" s="31"/>
      <c r="FEQ11" s="31"/>
      <c r="FER11" s="31"/>
      <c r="FES11" s="31"/>
      <c r="FET11" s="31"/>
      <c r="FEU11" s="31"/>
      <c r="FEV11" s="31"/>
      <c r="FEW11" s="31"/>
      <c r="FEX11" s="31"/>
      <c r="FEY11" s="31"/>
      <c r="FEZ11" s="31"/>
      <c r="FFA11" s="31"/>
      <c r="FFB11" s="31"/>
      <c r="FFC11" s="31"/>
      <c r="FFD11" s="31"/>
      <c r="FFE11" s="31"/>
      <c r="FFF11" s="31"/>
      <c r="FFG11" s="31"/>
      <c r="FFH11" s="31"/>
      <c r="FFI11" s="31"/>
      <c r="FFJ11" s="31"/>
      <c r="FFK11" s="31"/>
      <c r="FFL11" s="31"/>
      <c r="FFM11" s="31"/>
      <c r="FFN11" s="31"/>
      <c r="FFO11" s="31"/>
      <c r="FFP11" s="31"/>
      <c r="FFQ11" s="31"/>
      <c r="FFR11" s="31"/>
      <c r="FFS11" s="31"/>
      <c r="FFT11" s="31"/>
      <c r="FFU11" s="31"/>
      <c r="FFV11" s="31"/>
      <c r="FFW11" s="31"/>
      <c r="FFX11" s="31"/>
      <c r="FFY11" s="31"/>
      <c r="FFZ11" s="31"/>
      <c r="FGA11" s="31"/>
      <c r="FGB11" s="31"/>
      <c r="FGC11" s="31"/>
      <c r="FGD11" s="31"/>
      <c r="FGE11" s="31"/>
      <c r="FGF11" s="31"/>
      <c r="FGG11" s="31"/>
      <c r="FGH11" s="31"/>
      <c r="FGI11" s="31"/>
      <c r="FGJ11" s="31"/>
      <c r="FGK11" s="31"/>
      <c r="FGL11" s="31"/>
      <c r="FGM11" s="31"/>
      <c r="FGN11" s="31"/>
      <c r="FGO11" s="31"/>
      <c r="FGP11" s="31"/>
      <c r="FGQ11" s="31"/>
      <c r="FGR11" s="31"/>
      <c r="FGS11" s="31"/>
      <c r="FGT11" s="31"/>
      <c r="FGU11" s="31"/>
      <c r="FGV11" s="31"/>
      <c r="FGW11" s="31"/>
      <c r="FGX11" s="31"/>
      <c r="FGY11" s="31"/>
      <c r="FGZ11" s="31"/>
      <c r="FHA11" s="31"/>
      <c r="FHB11" s="31"/>
      <c r="FHC11" s="31"/>
      <c r="FHD11" s="31"/>
      <c r="FHE11" s="31"/>
      <c r="FHF11" s="31"/>
      <c r="FHG11" s="31"/>
      <c r="FHH11" s="31"/>
      <c r="FHI11" s="31"/>
      <c r="FHJ11" s="31"/>
      <c r="FHK11" s="31"/>
      <c r="FHL11" s="31"/>
      <c r="FHM11" s="31"/>
      <c r="FHN11" s="31"/>
      <c r="FHO11" s="31"/>
      <c r="FHP11" s="31"/>
      <c r="FHQ11" s="31"/>
      <c r="FHR11" s="31"/>
      <c r="FHS11" s="31"/>
      <c r="FHT11" s="31"/>
      <c r="FHU11" s="31"/>
      <c r="FHV11" s="31"/>
      <c r="FHW11" s="31"/>
      <c r="FHX11" s="31"/>
      <c r="FHY11" s="31"/>
      <c r="FHZ11" s="31"/>
      <c r="FIA11" s="31"/>
      <c r="FIB11" s="31"/>
      <c r="FIC11" s="31"/>
      <c r="FID11" s="31"/>
      <c r="FIE11" s="31"/>
      <c r="FIF11" s="31"/>
      <c r="FIG11" s="31"/>
      <c r="FIH11" s="31"/>
      <c r="FII11" s="31"/>
      <c r="FIJ11" s="31"/>
      <c r="FIK11" s="31"/>
      <c r="FIL11" s="31"/>
      <c r="FIM11" s="31"/>
      <c r="FIN11" s="31"/>
      <c r="FIO11" s="31"/>
      <c r="FIP11" s="31"/>
      <c r="FIQ11" s="31"/>
      <c r="FIR11" s="31"/>
      <c r="FIS11" s="31"/>
      <c r="FIT11" s="31"/>
      <c r="FIU11" s="31"/>
      <c r="FIV11" s="31"/>
      <c r="FIW11" s="31"/>
      <c r="FIX11" s="31"/>
      <c r="FIY11" s="31"/>
      <c r="FIZ11" s="31"/>
      <c r="FJA11" s="31"/>
      <c r="FJB11" s="31"/>
      <c r="FJC11" s="31"/>
      <c r="FJD11" s="31"/>
      <c r="FJE11" s="31"/>
      <c r="FJF11" s="31"/>
      <c r="FJG11" s="31"/>
      <c r="FJH11" s="31"/>
      <c r="FJI11" s="31"/>
      <c r="FJJ11" s="31"/>
      <c r="FJK11" s="31"/>
      <c r="FJL11" s="31"/>
      <c r="FJM11" s="31"/>
      <c r="FJN11" s="31"/>
      <c r="FJO11" s="31"/>
      <c r="FJP11" s="31"/>
      <c r="FJQ11" s="31"/>
      <c r="FJR11" s="31"/>
      <c r="FJS11" s="31"/>
      <c r="FJT11" s="31"/>
      <c r="FJU11" s="31"/>
      <c r="FJV11" s="31"/>
      <c r="FJW11" s="31"/>
      <c r="FJX11" s="31"/>
      <c r="FJY11" s="31"/>
      <c r="FJZ11" s="31"/>
      <c r="FKA11" s="31"/>
      <c r="FKB11" s="31"/>
      <c r="FKC11" s="31"/>
      <c r="FKD11" s="31"/>
      <c r="FKE11" s="31"/>
      <c r="FKF11" s="31"/>
      <c r="FKG11" s="31"/>
      <c r="FKH11" s="31"/>
      <c r="FKI11" s="31"/>
      <c r="FKJ11" s="31"/>
      <c r="FKK11" s="31"/>
      <c r="FKL11" s="31"/>
      <c r="FKM11" s="31"/>
      <c r="FKN11" s="31"/>
      <c r="FKO11" s="31"/>
      <c r="FKP11" s="31"/>
      <c r="FKQ11" s="31"/>
      <c r="FKR11" s="31"/>
      <c r="FKS11" s="31"/>
      <c r="FKT11" s="31"/>
      <c r="FKU11" s="31"/>
      <c r="FKV11" s="31"/>
      <c r="FKW11" s="31"/>
      <c r="FKX11" s="31"/>
      <c r="FKY11" s="31"/>
      <c r="FKZ11" s="31"/>
      <c r="FLA11" s="31"/>
      <c r="FLB11" s="31"/>
      <c r="FLC11" s="31"/>
      <c r="FLD11" s="31"/>
      <c r="FLE11" s="31"/>
      <c r="FLF11" s="31"/>
      <c r="FLG11" s="31"/>
      <c r="FLH11" s="31"/>
      <c r="FLI11" s="31"/>
      <c r="FLJ11" s="31"/>
      <c r="FLK11" s="31"/>
      <c r="FLL11" s="31"/>
      <c r="FLM11" s="31"/>
      <c r="FLN11" s="31"/>
      <c r="FLO11" s="31"/>
      <c r="FLP11" s="31"/>
      <c r="FLQ11" s="31"/>
      <c r="FLR11" s="31"/>
      <c r="FLS11" s="31"/>
      <c r="FLT11" s="31"/>
      <c r="FLU11" s="31"/>
      <c r="FLV11" s="31"/>
      <c r="FLW11" s="31"/>
      <c r="FLX11" s="31"/>
      <c r="FLY11" s="31"/>
      <c r="FLZ11" s="31"/>
      <c r="FMA11" s="31"/>
      <c r="FMB11" s="31"/>
      <c r="FMC11" s="31"/>
      <c r="FMD11" s="31"/>
      <c r="FME11" s="31"/>
      <c r="FMF11" s="31"/>
      <c r="FMG11" s="31"/>
      <c r="FMH11" s="31"/>
      <c r="FMI11" s="31"/>
      <c r="FMJ11" s="31"/>
      <c r="FMK11" s="31"/>
      <c r="FML11" s="31"/>
      <c r="FMM11" s="31"/>
      <c r="FMN11" s="31"/>
      <c r="FMO11" s="31"/>
      <c r="FMP11" s="31"/>
      <c r="FMQ11" s="31"/>
      <c r="FMR11" s="31"/>
      <c r="FMS11" s="31"/>
      <c r="FMT11" s="31"/>
      <c r="FMU11" s="31"/>
      <c r="FMV11" s="31"/>
      <c r="FMW11" s="31"/>
      <c r="FMX11" s="31"/>
      <c r="FMY11" s="31"/>
      <c r="FMZ11" s="31"/>
      <c r="FNA11" s="31"/>
      <c r="FNB11" s="31"/>
      <c r="FNC11" s="31"/>
      <c r="FND11" s="31"/>
      <c r="FNE11" s="31"/>
      <c r="FNF11" s="31"/>
      <c r="FNG11" s="31"/>
      <c r="FNH11" s="31"/>
      <c r="FNI11" s="31"/>
      <c r="FNJ11" s="31"/>
      <c r="FNK11" s="31"/>
      <c r="FNL11" s="31"/>
      <c r="FNM11" s="31"/>
      <c r="FNN11" s="31"/>
      <c r="FNO11" s="31"/>
      <c r="FNP11" s="31"/>
      <c r="FNQ11" s="31"/>
      <c r="FNR11" s="31"/>
      <c r="FNS11" s="31"/>
      <c r="FNT11" s="31"/>
      <c r="FNU11" s="31"/>
      <c r="FNV11" s="31"/>
      <c r="FNW11" s="31"/>
      <c r="FNX11" s="31"/>
      <c r="FNY11" s="31"/>
      <c r="FNZ11" s="31"/>
      <c r="FOA11" s="31"/>
      <c r="FOB11" s="31"/>
      <c r="FOC11" s="31"/>
      <c r="FOD11" s="31"/>
      <c r="FOE11" s="31"/>
      <c r="FOF11" s="31"/>
      <c r="FOG11" s="31"/>
      <c r="FOH11" s="31"/>
      <c r="FOI11" s="31"/>
      <c r="FOJ11" s="31"/>
      <c r="FOK11" s="31"/>
      <c r="FOL11" s="31"/>
      <c r="FOM11" s="31"/>
      <c r="FON11" s="31"/>
      <c r="FOO11" s="31"/>
      <c r="FOP11" s="31"/>
      <c r="FOQ11" s="31"/>
      <c r="FOR11" s="31"/>
      <c r="FOS11" s="31"/>
      <c r="FOT11" s="31"/>
      <c r="FOU11" s="31"/>
      <c r="FOV11" s="31"/>
      <c r="FOW11" s="31"/>
      <c r="FOX11" s="31"/>
      <c r="FOY11" s="31"/>
      <c r="FOZ11" s="31"/>
      <c r="FPA11" s="31"/>
      <c r="FPB11" s="31"/>
      <c r="FPC11" s="31"/>
      <c r="FPD11" s="31"/>
      <c r="FPE11" s="31"/>
      <c r="FPF11" s="31"/>
      <c r="FPG11" s="31"/>
      <c r="FPH11" s="31"/>
      <c r="FPI11" s="31"/>
      <c r="FPJ11" s="31"/>
      <c r="FPK11" s="31"/>
      <c r="FPL11" s="31"/>
      <c r="FPM11" s="31"/>
      <c r="FPN11" s="31"/>
      <c r="FPO11" s="31"/>
      <c r="FPP11" s="31"/>
      <c r="FPQ11" s="31"/>
      <c r="FPR11" s="31"/>
      <c r="FPS11" s="31"/>
      <c r="FPT11" s="31"/>
      <c r="FPU11" s="31"/>
      <c r="FPV11" s="31"/>
      <c r="FPW11" s="31"/>
      <c r="FPX11" s="31"/>
      <c r="FPY11" s="31"/>
      <c r="FPZ11" s="31"/>
      <c r="FQA11" s="31"/>
      <c r="FQB11" s="31"/>
      <c r="FQC11" s="31"/>
      <c r="FQD11" s="31"/>
      <c r="FQE11" s="31"/>
      <c r="FQF11" s="31"/>
      <c r="FQG11" s="31"/>
      <c r="FQH11" s="31"/>
      <c r="FQI11" s="31"/>
      <c r="FQJ11" s="31"/>
      <c r="FQK11" s="31"/>
      <c r="FQL11" s="31"/>
      <c r="FQM11" s="31"/>
      <c r="FQN11" s="31"/>
      <c r="FQO11" s="31"/>
      <c r="FQP11" s="31"/>
      <c r="FQQ11" s="31"/>
      <c r="FQR11" s="31"/>
      <c r="FQS11" s="31"/>
      <c r="FQT11" s="31"/>
      <c r="FQU11" s="31"/>
      <c r="FQV11" s="31"/>
      <c r="FQW11" s="31"/>
      <c r="FQX11" s="31"/>
      <c r="FQY11" s="31"/>
      <c r="FQZ11" s="31"/>
      <c r="FRA11" s="31"/>
      <c r="FRB11" s="31"/>
      <c r="FRC11" s="31"/>
      <c r="FRD11" s="31"/>
      <c r="FRE11" s="31"/>
      <c r="FRF11" s="31"/>
      <c r="FRG11" s="31"/>
      <c r="FRH11" s="31"/>
      <c r="FRI11" s="31"/>
      <c r="FRJ11" s="31"/>
      <c r="FRK11" s="31"/>
      <c r="FRL11" s="31"/>
      <c r="FRM11" s="31"/>
      <c r="FRN11" s="31"/>
      <c r="FRO11" s="31"/>
      <c r="FRP11" s="31"/>
      <c r="FRQ11" s="31"/>
      <c r="FRR11" s="31"/>
      <c r="FRS11" s="31"/>
      <c r="FRT11" s="31"/>
      <c r="FRU11" s="31"/>
      <c r="FRV11" s="31"/>
      <c r="FRW11" s="31"/>
      <c r="FRX11" s="31"/>
      <c r="FRY11" s="31"/>
      <c r="FRZ11" s="31"/>
      <c r="FSA11" s="31"/>
      <c r="FSB11" s="31"/>
      <c r="FSC11" s="31"/>
      <c r="FSD11" s="31"/>
      <c r="FSE11" s="31"/>
      <c r="FSF11" s="31"/>
      <c r="FSG11" s="31"/>
      <c r="FSH11" s="31"/>
      <c r="FSI11" s="31"/>
      <c r="FSJ11" s="31"/>
      <c r="FSK11" s="31"/>
      <c r="FSL11" s="31"/>
      <c r="FSM11" s="31"/>
      <c r="FSN11" s="31"/>
      <c r="FSO11" s="31"/>
      <c r="FSP11" s="31"/>
      <c r="FSQ11" s="31"/>
      <c r="FSR11" s="31"/>
      <c r="FSS11" s="31"/>
      <c r="FST11" s="31"/>
      <c r="FSU11" s="31"/>
      <c r="FSV11" s="31"/>
      <c r="FSW11" s="31"/>
      <c r="FSX11" s="31"/>
      <c r="FSY11" s="31"/>
      <c r="FSZ11" s="31"/>
      <c r="FTA11" s="31"/>
      <c r="FTB11" s="31"/>
      <c r="FTC11" s="31"/>
      <c r="FTD11" s="31"/>
      <c r="FTE11" s="31"/>
      <c r="FTF11" s="31"/>
      <c r="FTG11" s="31"/>
      <c r="FTH11" s="31"/>
      <c r="FTI11" s="31"/>
      <c r="FTJ11" s="31"/>
      <c r="FTK11" s="31"/>
      <c r="FTL11" s="31"/>
      <c r="FTM11" s="31"/>
      <c r="FTN11" s="31"/>
      <c r="FTO11" s="31"/>
      <c r="FTP11" s="31"/>
      <c r="FTQ11" s="31"/>
      <c r="FTR11" s="31"/>
      <c r="FTS11" s="31"/>
      <c r="FTT11" s="31"/>
      <c r="FTU11" s="31"/>
      <c r="FTV11" s="31"/>
      <c r="FTW11" s="31"/>
      <c r="FTX11" s="31"/>
      <c r="FTY11" s="31"/>
      <c r="FTZ11" s="31"/>
      <c r="FUA11" s="31"/>
      <c r="FUB11" s="31"/>
      <c r="FUC11" s="31"/>
      <c r="FUD11" s="31"/>
      <c r="FUE11" s="31"/>
      <c r="FUF11" s="31"/>
      <c r="FUG11" s="31"/>
      <c r="FUH11" s="31"/>
      <c r="FUI11" s="31"/>
      <c r="FUJ11" s="31"/>
      <c r="FUK11" s="31"/>
      <c r="FUL11" s="31"/>
      <c r="FUM11" s="31"/>
      <c r="FUN11" s="31"/>
      <c r="FUO11" s="31"/>
      <c r="FUP11" s="31"/>
      <c r="FUQ11" s="31"/>
      <c r="FUR11" s="31"/>
      <c r="FUS11" s="31"/>
      <c r="FUT11" s="31"/>
      <c r="FUU11" s="31"/>
      <c r="FUV11" s="31"/>
      <c r="FUW11" s="31"/>
      <c r="FUX11" s="31"/>
      <c r="FUY11" s="31"/>
      <c r="FUZ11" s="31"/>
      <c r="FVA11" s="31"/>
      <c r="FVB11" s="31"/>
      <c r="FVC11" s="31"/>
      <c r="FVD11" s="31"/>
      <c r="FVE11" s="31"/>
      <c r="FVF11" s="31"/>
      <c r="FVG11" s="31"/>
      <c r="FVH11" s="31"/>
      <c r="FVI11" s="31"/>
      <c r="FVJ11" s="31"/>
      <c r="FVK11" s="31"/>
      <c r="FVL11" s="31"/>
      <c r="FVM11" s="31"/>
      <c r="FVN11" s="31"/>
      <c r="FVO11" s="31"/>
      <c r="FVP11" s="31"/>
      <c r="FVQ11" s="31"/>
      <c r="FVR11" s="31"/>
      <c r="FVS11" s="31"/>
      <c r="FVT11" s="31"/>
      <c r="FVU11" s="31"/>
      <c r="FVV11" s="31"/>
      <c r="FVW11" s="31"/>
      <c r="FVX11" s="31"/>
      <c r="FVY11" s="31"/>
      <c r="FVZ11" s="31"/>
      <c r="FWA11" s="31"/>
      <c r="FWB11" s="31"/>
      <c r="FWC11" s="31"/>
      <c r="FWD11" s="31"/>
      <c r="FWE11" s="31"/>
      <c r="FWF11" s="31"/>
      <c r="FWG11" s="31"/>
      <c r="FWH11" s="31"/>
      <c r="FWI11" s="31"/>
      <c r="FWJ11" s="31"/>
      <c r="FWK11" s="31"/>
      <c r="FWL11" s="31"/>
      <c r="FWM11" s="31"/>
      <c r="FWN11" s="31"/>
      <c r="FWO11" s="31"/>
      <c r="FWP11" s="31"/>
      <c r="FWQ11" s="31"/>
      <c r="FWR11" s="31"/>
      <c r="FWS11" s="31"/>
      <c r="FWT11" s="31"/>
      <c r="FWU11" s="31"/>
      <c r="FWV11" s="31"/>
      <c r="FWW11" s="31"/>
      <c r="FWX11" s="31"/>
      <c r="FWY11" s="31"/>
      <c r="FWZ11" s="31"/>
      <c r="FXA11" s="31"/>
      <c r="FXB11" s="31"/>
      <c r="FXC11" s="31"/>
      <c r="FXD11" s="31"/>
      <c r="FXE11" s="31"/>
      <c r="FXF11" s="31"/>
      <c r="FXG11" s="31"/>
      <c r="FXH11" s="31"/>
      <c r="FXI11" s="31"/>
      <c r="FXJ11" s="31"/>
      <c r="FXK11" s="31"/>
      <c r="FXL11" s="31"/>
      <c r="FXM11" s="31"/>
      <c r="FXN11" s="31"/>
      <c r="FXO11" s="31"/>
      <c r="FXP11" s="31"/>
      <c r="FXQ11" s="31"/>
      <c r="FXR11" s="31"/>
      <c r="FXS11" s="31"/>
      <c r="FXT11" s="31"/>
      <c r="FXU11" s="31"/>
      <c r="FXV11" s="31"/>
      <c r="FXW11" s="31"/>
      <c r="FXX11" s="31"/>
      <c r="FXY11" s="31"/>
      <c r="FXZ11" s="31"/>
      <c r="FYA11" s="31"/>
      <c r="FYB11" s="31"/>
      <c r="FYC11" s="31"/>
      <c r="FYD11" s="31"/>
      <c r="FYE11" s="31"/>
      <c r="FYF11" s="31"/>
      <c r="FYG11" s="31"/>
      <c r="FYH11" s="31"/>
      <c r="FYI11" s="31"/>
      <c r="FYJ11" s="31"/>
      <c r="FYK11" s="31"/>
      <c r="FYL11" s="31"/>
      <c r="FYM11" s="31"/>
      <c r="FYN11" s="31"/>
      <c r="FYO11" s="31"/>
      <c r="FYP11" s="31"/>
      <c r="FYQ11" s="31"/>
      <c r="FYR11" s="31"/>
      <c r="FYS11" s="31"/>
      <c r="FYT11" s="31"/>
      <c r="FYU11" s="31"/>
      <c r="FYV11" s="31"/>
      <c r="FYW11" s="31"/>
      <c r="FYX11" s="31"/>
      <c r="FYY11" s="31"/>
      <c r="FYZ11" s="31"/>
      <c r="FZA11" s="31"/>
      <c r="FZB11" s="31"/>
      <c r="FZC11" s="31"/>
      <c r="FZD11" s="31"/>
      <c r="FZE11" s="31"/>
      <c r="FZF11" s="31"/>
      <c r="FZG11" s="31"/>
      <c r="FZH11" s="31"/>
      <c r="FZI11" s="31"/>
      <c r="FZJ11" s="31"/>
      <c r="FZK11" s="31"/>
      <c r="FZL11" s="31"/>
      <c r="FZM11" s="31"/>
      <c r="FZN11" s="31"/>
      <c r="FZO11" s="31"/>
      <c r="FZP11" s="31"/>
      <c r="FZQ11" s="31"/>
      <c r="FZR11" s="31"/>
      <c r="FZS11" s="31"/>
      <c r="FZT11" s="31"/>
      <c r="FZU11" s="31"/>
      <c r="FZV11" s="31"/>
      <c r="FZW11" s="31"/>
      <c r="FZX11" s="31"/>
      <c r="FZY11" s="31"/>
      <c r="FZZ11" s="31"/>
      <c r="GAA11" s="31"/>
      <c r="GAB11" s="31"/>
      <c r="GAC11" s="31"/>
      <c r="GAD11" s="31"/>
      <c r="GAE11" s="31"/>
      <c r="GAF11" s="31"/>
      <c r="GAG11" s="31"/>
      <c r="GAH11" s="31"/>
      <c r="GAI11" s="31"/>
      <c r="GAJ11" s="31"/>
      <c r="GAK11" s="31"/>
      <c r="GAL11" s="31"/>
      <c r="GAM11" s="31"/>
      <c r="GAN11" s="31"/>
      <c r="GAO11" s="31"/>
      <c r="GAP11" s="31"/>
      <c r="GAQ11" s="31"/>
      <c r="GAR11" s="31"/>
      <c r="GAS11" s="31"/>
      <c r="GAT11" s="31"/>
      <c r="GAU11" s="31"/>
      <c r="GAV11" s="31"/>
      <c r="GAW11" s="31"/>
      <c r="GAX11" s="31"/>
      <c r="GAY11" s="31"/>
      <c r="GAZ11" s="31"/>
      <c r="GBA11" s="31"/>
      <c r="GBB11" s="31"/>
      <c r="GBC11" s="31"/>
      <c r="GBD11" s="31"/>
      <c r="GBE11" s="31"/>
      <c r="GBF11" s="31"/>
      <c r="GBG11" s="31"/>
      <c r="GBH11" s="31"/>
      <c r="GBI11" s="31"/>
      <c r="GBJ11" s="31"/>
      <c r="GBK11" s="31"/>
      <c r="GBL11" s="31"/>
      <c r="GBM11" s="31"/>
      <c r="GBN11" s="31"/>
      <c r="GBO11" s="31"/>
      <c r="GBP11" s="31"/>
      <c r="GBQ11" s="31"/>
      <c r="GBR11" s="31"/>
      <c r="GBS11" s="31"/>
      <c r="GBT11" s="31"/>
      <c r="GBU11" s="31"/>
      <c r="GBV11" s="31"/>
      <c r="GBW11" s="31"/>
      <c r="GBX11" s="31"/>
      <c r="GBY11" s="31"/>
      <c r="GBZ11" s="31"/>
      <c r="GCA11" s="31"/>
      <c r="GCB11" s="31"/>
      <c r="GCC11" s="31"/>
      <c r="GCD11" s="31"/>
      <c r="GCE11" s="31"/>
      <c r="GCF11" s="31"/>
      <c r="GCG11" s="31"/>
      <c r="GCH11" s="31"/>
      <c r="GCI11" s="31"/>
      <c r="GCJ11" s="31"/>
      <c r="GCK11" s="31"/>
      <c r="GCL11" s="31"/>
      <c r="GCM11" s="31"/>
      <c r="GCN11" s="31"/>
      <c r="GCO11" s="31"/>
      <c r="GCP11" s="31"/>
      <c r="GCQ11" s="31"/>
      <c r="GCR11" s="31"/>
      <c r="GCS11" s="31"/>
      <c r="GCT11" s="31"/>
      <c r="GCU11" s="31"/>
      <c r="GCV11" s="31"/>
      <c r="GCW11" s="31"/>
      <c r="GCX11" s="31"/>
      <c r="GCY11" s="31"/>
      <c r="GCZ11" s="31"/>
      <c r="GDA11" s="31"/>
      <c r="GDB11" s="31"/>
      <c r="GDC11" s="31"/>
      <c r="GDD11" s="31"/>
      <c r="GDE11" s="31"/>
      <c r="GDF11" s="31"/>
      <c r="GDG11" s="31"/>
      <c r="GDH11" s="31"/>
      <c r="GDI11" s="31"/>
      <c r="GDJ11" s="31"/>
      <c r="GDK11" s="31"/>
      <c r="GDL11" s="31"/>
      <c r="GDM11" s="31"/>
      <c r="GDN11" s="31"/>
      <c r="GDO11" s="31"/>
      <c r="GDP11" s="31"/>
      <c r="GDQ11" s="31"/>
      <c r="GDR11" s="31"/>
      <c r="GDS11" s="31"/>
      <c r="GDT11" s="31"/>
      <c r="GDU11" s="31"/>
      <c r="GDV11" s="31"/>
      <c r="GDW11" s="31"/>
      <c r="GDX11" s="31"/>
      <c r="GDY11" s="31"/>
      <c r="GDZ11" s="31"/>
      <c r="GEA11" s="31"/>
      <c r="GEB11" s="31"/>
      <c r="GEC11" s="31"/>
      <c r="GED11" s="31"/>
      <c r="GEE11" s="31"/>
      <c r="GEF11" s="31"/>
      <c r="GEG11" s="31"/>
      <c r="GEH11" s="31"/>
      <c r="GEI11" s="31"/>
      <c r="GEJ11" s="31"/>
      <c r="GEK11" s="31"/>
      <c r="GEL11" s="31"/>
      <c r="GEM11" s="31"/>
      <c r="GEN11" s="31"/>
      <c r="GEO11" s="31"/>
      <c r="GEP11" s="31"/>
      <c r="GEQ11" s="31"/>
      <c r="GER11" s="31"/>
      <c r="GES11" s="31"/>
      <c r="GET11" s="31"/>
      <c r="GEU11" s="31"/>
      <c r="GEV11" s="31"/>
      <c r="GEW11" s="31"/>
      <c r="GEX11" s="31"/>
      <c r="GEY11" s="31"/>
      <c r="GEZ11" s="31"/>
      <c r="GFA11" s="31"/>
      <c r="GFB11" s="31"/>
      <c r="GFC11" s="31"/>
      <c r="GFD11" s="31"/>
      <c r="GFE11" s="31"/>
      <c r="GFF11" s="31"/>
      <c r="GFG11" s="31"/>
      <c r="GFH11" s="31"/>
      <c r="GFI11" s="31"/>
      <c r="GFJ11" s="31"/>
      <c r="GFK11" s="31"/>
      <c r="GFL11" s="31"/>
      <c r="GFM11" s="31"/>
      <c r="GFN11" s="31"/>
      <c r="GFO11" s="31"/>
      <c r="GFP11" s="31"/>
      <c r="GFQ11" s="31"/>
      <c r="GFR11" s="31"/>
      <c r="GFS11" s="31"/>
      <c r="GFT11" s="31"/>
      <c r="GFU11" s="31"/>
      <c r="GFV11" s="31"/>
      <c r="GFW11" s="31"/>
      <c r="GFX11" s="31"/>
      <c r="GFY11" s="31"/>
      <c r="GFZ11" s="31"/>
      <c r="GGA11" s="31"/>
      <c r="GGB11" s="31"/>
      <c r="GGC11" s="31"/>
      <c r="GGD11" s="31"/>
      <c r="GGE11" s="31"/>
      <c r="GGF11" s="31"/>
      <c r="GGG11" s="31"/>
      <c r="GGH11" s="31"/>
      <c r="GGI11" s="31"/>
      <c r="GGJ11" s="31"/>
      <c r="GGK11" s="31"/>
      <c r="GGL11" s="31"/>
      <c r="GGM11" s="31"/>
      <c r="GGN11" s="31"/>
      <c r="GGO11" s="31"/>
      <c r="GGP11" s="31"/>
      <c r="GGQ11" s="31"/>
      <c r="GGR11" s="31"/>
      <c r="GGS11" s="31"/>
      <c r="GGT11" s="31"/>
      <c r="GGU11" s="31"/>
      <c r="GGV11" s="31"/>
      <c r="GGW11" s="31"/>
      <c r="GGX11" s="31"/>
      <c r="GGY11" s="31"/>
      <c r="GGZ11" s="31"/>
      <c r="GHA11" s="31"/>
      <c r="GHB11" s="31"/>
      <c r="GHC11" s="31"/>
      <c r="GHD11" s="31"/>
      <c r="GHE11" s="31"/>
      <c r="GHF11" s="31"/>
      <c r="GHG11" s="31"/>
      <c r="GHH11" s="31"/>
      <c r="GHI11" s="31"/>
      <c r="GHJ11" s="31"/>
      <c r="GHK11" s="31"/>
      <c r="GHL11" s="31"/>
      <c r="GHM11" s="31"/>
      <c r="GHN11" s="31"/>
      <c r="GHO11" s="31"/>
      <c r="GHP11" s="31"/>
      <c r="GHQ11" s="31"/>
      <c r="GHR11" s="31"/>
      <c r="GHS11" s="31"/>
      <c r="GHT11" s="31"/>
      <c r="GHU11" s="31"/>
      <c r="GHV11" s="31"/>
      <c r="GHW11" s="31"/>
      <c r="GHX11" s="31"/>
      <c r="GHY11" s="31"/>
      <c r="GHZ11" s="31"/>
      <c r="GIA11" s="31"/>
      <c r="GIB11" s="31"/>
      <c r="GIC11" s="31"/>
      <c r="GID11" s="31"/>
      <c r="GIE11" s="31"/>
      <c r="GIF11" s="31"/>
      <c r="GIG11" s="31"/>
      <c r="GIH11" s="31"/>
      <c r="GII11" s="31"/>
      <c r="GIJ11" s="31"/>
      <c r="GIK11" s="31"/>
      <c r="GIL11" s="31"/>
      <c r="GIM11" s="31"/>
      <c r="GIN11" s="31"/>
      <c r="GIO11" s="31"/>
      <c r="GIP11" s="31"/>
      <c r="GIQ11" s="31"/>
      <c r="GIR11" s="31"/>
      <c r="GIS11" s="31"/>
      <c r="GIT11" s="31"/>
      <c r="GIU11" s="31"/>
      <c r="GIV11" s="31"/>
      <c r="GIW11" s="31"/>
      <c r="GIX11" s="31"/>
      <c r="GIY11" s="31"/>
      <c r="GIZ11" s="31"/>
      <c r="GJA11" s="31"/>
      <c r="GJB11" s="31"/>
      <c r="GJC11" s="31"/>
      <c r="GJD11" s="31"/>
      <c r="GJE11" s="31"/>
      <c r="GJF11" s="31"/>
      <c r="GJG11" s="31"/>
      <c r="GJH11" s="31"/>
      <c r="GJI11" s="31"/>
      <c r="GJJ11" s="31"/>
      <c r="GJK11" s="31"/>
      <c r="GJL11" s="31"/>
      <c r="GJM11" s="31"/>
      <c r="GJN11" s="31"/>
      <c r="GJO11" s="31"/>
      <c r="GJP11" s="31"/>
      <c r="GJQ11" s="31"/>
      <c r="GJR11" s="31"/>
      <c r="GJS11" s="31"/>
      <c r="GJT11" s="31"/>
      <c r="GJU11" s="31"/>
      <c r="GJV11" s="31"/>
      <c r="GJW11" s="31"/>
      <c r="GJX11" s="31"/>
      <c r="GJY11" s="31"/>
      <c r="GJZ11" s="31"/>
      <c r="GKA11" s="31"/>
      <c r="GKB11" s="31"/>
      <c r="GKC11" s="31"/>
      <c r="GKD11" s="31"/>
      <c r="GKE11" s="31"/>
      <c r="GKF11" s="31"/>
      <c r="GKG11" s="31"/>
      <c r="GKH11" s="31"/>
      <c r="GKI11" s="31"/>
      <c r="GKJ11" s="31"/>
      <c r="GKK11" s="31"/>
      <c r="GKL11" s="31"/>
      <c r="GKM11" s="31"/>
      <c r="GKN11" s="31"/>
      <c r="GKO11" s="31"/>
      <c r="GKP11" s="31"/>
      <c r="GKQ11" s="31"/>
      <c r="GKR11" s="31"/>
      <c r="GKS11" s="31"/>
      <c r="GKT11" s="31"/>
      <c r="GKU11" s="31"/>
      <c r="GKV11" s="31"/>
      <c r="GKW11" s="31"/>
      <c r="GKX11" s="31"/>
      <c r="GKY11" s="31"/>
      <c r="GKZ11" s="31"/>
      <c r="GLA11" s="31"/>
      <c r="GLB11" s="31"/>
      <c r="GLC11" s="31"/>
      <c r="GLD11" s="31"/>
      <c r="GLE11" s="31"/>
      <c r="GLF11" s="31"/>
      <c r="GLG11" s="31"/>
      <c r="GLH11" s="31"/>
      <c r="GLI11" s="31"/>
      <c r="GLJ11" s="31"/>
      <c r="GLK11" s="31"/>
      <c r="GLL11" s="31"/>
      <c r="GLM11" s="31"/>
      <c r="GLN11" s="31"/>
      <c r="GLO11" s="31"/>
      <c r="GLP11" s="31"/>
      <c r="GLQ11" s="31"/>
      <c r="GLR11" s="31"/>
      <c r="GLS11" s="31"/>
      <c r="GLT11" s="31"/>
      <c r="GLU11" s="31"/>
      <c r="GLV11" s="31"/>
      <c r="GLW11" s="31"/>
      <c r="GLX11" s="31"/>
      <c r="GLY11" s="31"/>
      <c r="GLZ11" s="31"/>
      <c r="GMA11" s="31"/>
      <c r="GMB11" s="31"/>
      <c r="GMC11" s="31"/>
      <c r="GMD11" s="31"/>
      <c r="GME11" s="31"/>
      <c r="GMF11" s="31"/>
      <c r="GMG11" s="31"/>
      <c r="GMH11" s="31"/>
      <c r="GMI11" s="31"/>
      <c r="GMJ11" s="31"/>
      <c r="GMK11" s="31"/>
      <c r="GML11" s="31"/>
      <c r="GMM11" s="31"/>
      <c r="GMN11" s="31"/>
      <c r="GMO11" s="31"/>
      <c r="GMP11" s="31"/>
      <c r="GMQ11" s="31"/>
      <c r="GMR11" s="31"/>
      <c r="GMS11" s="31"/>
      <c r="GMT11" s="31"/>
      <c r="GMU11" s="31"/>
      <c r="GMV11" s="31"/>
      <c r="GMW11" s="31"/>
      <c r="GMX11" s="31"/>
      <c r="GMY11" s="31"/>
      <c r="GMZ11" s="31"/>
      <c r="GNA11" s="31"/>
      <c r="GNB11" s="31"/>
      <c r="GNC11" s="31"/>
      <c r="GND11" s="31"/>
      <c r="GNE11" s="31"/>
      <c r="GNF11" s="31"/>
      <c r="GNG11" s="31"/>
      <c r="GNH11" s="31"/>
      <c r="GNI11" s="31"/>
      <c r="GNJ11" s="31"/>
      <c r="GNK11" s="31"/>
      <c r="GNL11" s="31"/>
      <c r="GNM11" s="31"/>
      <c r="GNN11" s="31"/>
      <c r="GNO11" s="31"/>
      <c r="GNP11" s="31"/>
      <c r="GNQ11" s="31"/>
      <c r="GNR11" s="31"/>
      <c r="GNS11" s="31"/>
      <c r="GNT11" s="31"/>
      <c r="GNU11" s="31"/>
      <c r="GNV11" s="31"/>
      <c r="GNW11" s="31"/>
      <c r="GNX11" s="31"/>
      <c r="GNY11" s="31"/>
      <c r="GNZ11" s="31"/>
      <c r="GOA11" s="31"/>
      <c r="GOB11" s="31"/>
      <c r="GOC11" s="31"/>
      <c r="GOD11" s="31"/>
      <c r="GOE11" s="31"/>
      <c r="GOF11" s="31"/>
      <c r="GOG11" s="31"/>
      <c r="GOH11" s="31"/>
      <c r="GOI11" s="31"/>
      <c r="GOJ11" s="31"/>
      <c r="GOK11" s="31"/>
      <c r="GOL11" s="31"/>
      <c r="GOM11" s="31"/>
      <c r="GON11" s="31"/>
      <c r="GOO11" s="31"/>
      <c r="GOP11" s="31"/>
      <c r="GOQ11" s="31"/>
      <c r="GOR11" s="31"/>
      <c r="GOS11" s="31"/>
      <c r="GOT11" s="31"/>
      <c r="GOU11" s="31"/>
      <c r="GOV11" s="31"/>
      <c r="GOW11" s="31"/>
      <c r="GOX11" s="31"/>
      <c r="GOY11" s="31"/>
      <c r="GOZ11" s="31"/>
      <c r="GPA11" s="31"/>
      <c r="GPB11" s="31"/>
      <c r="GPC11" s="31"/>
      <c r="GPD11" s="31"/>
      <c r="GPE11" s="31"/>
      <c r="GPF11" s="31"/>
      <c r="GPG11" s="31"/>
      <c r="GPH11" s="31"/>
      <c r="GPI11" s="31"/>
      <c r="GPJ11" s="31"/>
      <c r="GPK11" s="31"/>
      <c r="GPL11" s="31"/>
      <c r="GPM11" s="31"/>
      <c r="GPN11" s="31"/>
      <c r="GPO11" s="31"/>
      <c r="GPP11" s="31"/>
      <c r="GPQ11" s="31"/>
      <c r="GPR11" s="31"/>
      <c r="GPS11" s="31"/>
      <c r="GPT11" s="31"/>
      <c r="GPU11" s="31"/>
      <c r="GPV11" s="31"/>
      <c r="GPW11" s="31"/>
      <c r="GPX11" s="31"/>
      <c r="GPY11" s="31"/>
      <c r="GPZ11" s="31"/>
      <c r="GQA11" s="31"/>
      <c r="GQB11" s="31"/>
      <c r="GQC11" s="31"/>
      <c r="GQD11" s="31"/>
      <c r="GQE11" s="31"/>
      <c r="GQF11" s="31"/>
      <c r="GQG11" s="31"/>
      <c r="GQH11" s="31"/>
      <c r="GQI11" s="31"/>
      <c r="GQJ11" s="31"/>
      <c r="GQK11" s="31"/>
      <c r="GQL11" s="31"/>
      <c r="GQM11" s="31"/>
      <c r="GQN11" s="31"/>
      <c r="GQO11" s="31"/>
      <c r="GQP11" s="31"/>
      <c r="GQQ11" s="31"/>
      <c r="GQR11" s="31"/>
      <c r="GQS11" s="31"/>
      <c r="GQT11" s="31"/>
      <c r="GQU11" s="31"/>
      <c r="GQV11" s="31"/>
      <c r="GQW11" s="31"/>
      <c r="GQX11" s="31"/>
      <c r="GQY11" s="31"/>
      <c r="GQZ11" s="31"/>
      <c r="GRA11" s="31"/>
      <c r="GRB11" s="31"/>
      <c r="GRC11" s="31"/>
      <c r="GRD11" s="31"/>
      <c r="GRE11" s="31"/>
      <c r="GRF11" s="31"/>
      <c r="GRG11" s="31"/>
      <c r="GRH11" s="31"/>
      <c r="GRI11" s="31"/>
      <c r="GRJ11" s="31"/>
      <c r="GRK11" s="31"/>
      <c r="GRL11" s="31"/>
      <c r="GRM11" s="31"/>
      <c r="GRN11" s="31"/>
      <c r="GRO11" s="31"/>
      <c r="GRP11" s="31"/>
      <c r="GRQ11" s="31"/>
      <c r="GRR11" s="31"/>
      <c r="GRS11" s="31"/>
      <c r="GRT11" s="31"/>
      <c r="GRU11" s="31"/>
      <c r="GRV11" s="31"/>
      <c r="GRW11" s="31"/>
      <c r="GRX11" s="31"/>
      <c r="GRY11" s="31"/>
      <c r="GRZ11" s="31"/>
      <c r="GSA11" s="31"/>
      <c r="GSB11" s="31"/>
      <c r="GSC11" s="31"/>
      <c r="GSD11" s="31"/>
      <c r="GSE11" s="31"/>
      <c r="GSF11" s="31"/>
      <c r="GSG11" s="31"/>
      <c r="GSH11" s="31"/>
      <c r="GSI11" s="31"/>
      <c r="GSJ11" s="31"/>
      <c r="GSK11" s="31"/>
      <c r="GSL11" s="31"/>
      <c r="GSM11" s="31"/>
      <c r="GSN11" s="31"/>
      <c r="GSO11" s="31"/>
      <c r="GSP11" s="31"/>
      <c r="GSQ11" s="31"/>
      <c r="GSR11" s="31"/>
      <c r="GSS11" s="31"/>
      <c r="GST11" s="31"/>
      <c r="GSU11" s="31"/>
      <c r="GSV11" s="31"/>
      <c r="GSW11" s="31"/>
      <c r="GSX11" s="31"/>
      <c r="GSY11" s="31"/>
      <c r="GSZ11" s="31"/>
      <c r="GTA11" s="31"/>
      <c r="GTB11" s="31"/>
      <c r="GTC11" s="31"/>
      <c r="GTD11" s="31"/>
      <c r="GTE11" s="31"/>
      <c r="GTF11" s="31"/>
      <c r="GTG11" s="31"/>
      <c r="GTH11" s="31"/>
      <c r="GTI11" s="31"/>
      <c r="GTJ11" s="31"/>
      <c r="GTK11" s="31"/>
      <c r="GTL11" s="31"/>
      <c r="GTM11" s="31"/>
      <c r="GTN11" s="31"/>
      <c r="GTO11" s="31"/>
      <c r="GTP11" s="31"/>
      <c r="GTQ11" s="31"/>
      <c r="GTR11" s="31"/>
      <c r="GTS11" s="31"/>
      <c r="GTT11" s="31"/>
      <c r="GTU11" s="31"/>
      <c r="GTV11" s="31"/>
      <c r="GTW11" s="31"/>
      <c r="GTX11" s="31"/>
      <c r="GTY11" s="31"/>
      <c r="GTZ11" s="31"/>
      <c r="GUA11" s="31"/>
      <c r="GUB11" s="31"/>
      <c r="GUC11" s="31"/>
      <c r="GUD11" s="31"/>
      <c r="GUE11" s="31"/>
      <c r="GUF11" s="31"/>
      <c r="GUG11" s="31"/>
      <c r="GUH11" s="31"/>
      <c r="GUI11" s="31"/>
      <c r="GUJ11" s="31"/>
      <c r="GUK11" s="31"/>
      <c r="GUL11" s="31"/>
      <c r="GUM11" s="31"/>
      <c r="GUN11" s="31"/>
      <c r="GUO11" s="31"/>
      <c r="GUP11" s="31"/>
      <c r="GUQ11" s="31"/>
      <c r="GUR11" s="31"/>
      <c r="GUS11" s="31"/>
      <c r="GUT11" s="31"/>
      <c r="GUU11" s="31"/>
      <c r="GUV11" s="31"/>
      <c r="GUW11" s="31"/>
      <c r="GUX11" s="31"/>
      <c r="GUY11" s="31"/>
      <c r="GUZ11" s="31"/>
      <c r="GVA11" s="31"/>
      <c r="GVB11" s="31"/>
      <c r="GVC11" s="31"/>
      <c r="GVD11" s="31"/>
      <c r="GVE11" s="31"/>
      <c r="GVF11" s="31"/>
      <c r="GVG11" s="31"/>
      <c r="GVH11" s="31"/>
      <c r="GVI11" s="31"/>
      <c r="GVJ11" s="31"/>
      <c r="GVK11" s="31"/>
      <c r="GVL11" s="31"/>
      <c r="GVM11" s="31"/>
      <c r="GVN11" s="31"/>
      <c r="GVO11" s="31"/>
      <c r="GVP11" s="31"/>
      <c r="GVQ11" s="31"/>
      <c r="GVR11" s="31"/>
      <c r="GVS11" s="31"/>
      <c r="GVT11" s="31"/>
      <c r="GVU11" s="31"/>
      <c r="GVV11" s="31"/>
      <c r="GVW11" s="31"/>
      <c r="GVX11" s="31"/>
      <c r="GVY11" s="31"/>
      <c r="GVZ11" s="31"/>
      <c r="GWA11" s="31"/>
      <c r="GWB11" s="31"/>
      <c r="GWC11" s="31"/>
      <c r="GWD11" s="31"/>
      <c r="GWE11" s="31"/>
      <c r="GWF11" s="31"/>
      <c r="GWG11" s="31"/>
      <c r="GWH11" s="31"/>
      <c r="GWI11" s="31"/>
      <c r="GWJ11" s="31"/>
      <c r="GWK11" s="31"/>
      <c r="GWL11" s="31"/>
      <c r="GWM11" s="31"/>
      <c r="GWN11" s="31"/>
      <c r="GWO11" s="31"/>
      <c r="GWP11" s="31"/>
      <c r="GWQ11" s="31"/>
      <c r="GWR11" s="31"/>
      <c r="GWS11" s="31"/>
      <c r="GWT11" s="31"/>
      <c r="GWU11" s="31"/>
      <c r="GWV11" s="31"/>
      <c r="GWW11" s="31"/>
      <c r="GWX11" s="31"/>
      <c r="GWY11" s="31"/>
      <c r="GWZ11" s="31"/>
      <c r="GXA11" s="31"/>
      <c r="GXB11" s="31"/>
      <c r="GXC11" s="31"/>
      <c r="GXD11" s="31"/>
      <c r="GXE11" s="31"/>
      <c r="GXF11" s="31"/>
      <c r="GXG11" s="31"/>
      <c r="GXH11" s="31"/>
      <c r="GXI11" s="31"/>
      <c r="GXJ11" s="31"/>
      <c r="GXK11" s="31"/>
      <c r="GXL11" s="31"/>
      <c r="GXM11" s="31"/>
      <c r="GXN11" s="31"/>
      <c r="GXO11" s="31"/>
      <c r="GXP11" s="31"/>
      <c r="GXQ11" s="31"/>
      <c r="GXR11" s="31"/>
      <c r="GXS11" s="31"/>
      <c r="GXT11" s="31"/>
      <c r="GXU11" s="31"/>
      <c r="GXV11" s="31"/>
      <c r="GXW11" s="31"/>
      <c r="GXX11" s="31"/>
      <c r="GXY11" s="31"/>
      <c r="GXZ11" s="31"/>
      <c r="GYA11" s="31"/>
      <c r="GYB11" s="31"/>
      <c r="GYC11" s="31"/>
      <c r="GYD11" s="31"/>
      <c r="GYE11" s="31"/>
      <c r="GYF11" s="31"/>
      <c r="GYG11" s="31"/>
      <c r="GYH11" s="31"/>
      <c r="GYI11" s="31"/>
      <c r="GYJ11" s="31"/>
      <c r="GYK11" s="31"/>
      <c r="GYL11" s="31"/>
      <c r="GYM11" s="31"/>
      <c r="GYN11" s="31"/>
      <c r="GYO11" s="31"/>
      <c r="GYP11" s="31"/>
      <c r="GYQ11" s="31"/>
      <c r="GYR11" s="31"/>
      <c r="GYS11" s="31"/>
      <c r="GYT11" s="31"/>
      <c r="GYU11" s="31"/>
      <c r="GYV11" s="31"/>
      <c r="GYW11" s="31"/>
      <c r="GYX11" s="31"/>
      <c r="GYY11" s="31"/>
      <c r="GYZ11" s="31"/>
      <c r="GZA11" s="31"/>
      <c r="GZB11" s="31"/>
      <c r="GZC11" s="31"/>
      <c r="GZD11" s="31"/>
      <c r="GZE11" s="31"/>
      <c r="GZF11" s="31"/>
      <c r="GZG11" s="31"/>
      <c r="GZH11" s="31"/>
      <c r="GZI11" s="31"/>
      <c r="GZJ11" s="31"/>
      <c r="GZK11" s="31"/>
      <c r="GZL11" s="31"/>
      <c r="GZM11" s="31"/>
      <c r="GZN11" s="31"/>
      <c r="GZO11" s="31"/>
      <c r="GZP11" s="31"/>
      <c r="GZQ11" s="31"/>
      <c r="GZR11" s="31"/>
      <c r="GZS11" s="31"/>
      <c r="GZT11" s="31"/>
      <c r="GZU11" s="31"/>
      <c r="GZV11" s="31"/>
      <c r="GZW11" s="31"/>
      <c r="GZX11" s="31"/>
      <c r="GZY11" s="31"/>
      <c r="GZZ11" s="31"/>
      <c r="HAA11" s="31"/>
      <c r="HAB11" s="31"/>
      <c r="HAC11" s="31"/>
      <c r="HAD11" s="31"/>
      <c r="HAE11" s="31"/>
      <c r="HAF11" s="31"/>
      <c r="HAG11" s="31"/>
      <c r="HAH11" s="31"/>
      <c r="HAI11" s="31"/>
      <c r="HAJ11" s="31"/>
      <c r="HAK11" s="31"/>
      <c r="HAL11" s="31"/>
      <c r="HAM11" s="31"/>
      <c r="HAN11" s="31"/>
      <c r="HAO11" s="31"/>
      <c r="HAP11" s="31"/>
      <c r="HAQ11" s="31"/>
      <c r="HAR11" s="31"/>
      <c r="HAS11" s="31"/>
      <c r="HAT11" s="31"/>
      <c r="HAU11" s="31"/>
      <c r="HAV11" s="31"/>
      <c r="HAW11" s="31"/>
      <c r="HAX11" s="31"/>
      <c r="HAY11" s="31"/>
      <c r="HAZ11" s="31"/>
      <c r="HBA11" s="31"/>
      <c r="HBB11" s="31"/>
      <c r="HBC11" s="31"/>
      <c r="HBD11" s="31"/>
      <c r="HBE11" s="31"/>
      <c r="HBF11" s="31"/>
      <c r="HBG11" s="31"/>
      <c r="HBH11" s="31"/>
      <c r="HBI11" s="31"/>
      <c r="HBJ11" s="31"/>
      <c r="HBK11" s="31"/>
      <c r="HBL11" s="31"/>
      <c r="HBM11" s="31"/>
      <c r="HBN11" s="31"/>
      <c r="HBO11" s="31"/>
      <c r="HBP11" s="31"/>
      <c r="HBQ11" s="31"/>
      <c r="HBR11" s="31"/>
      <c r="HBS11" s="31"/>
      <c r="HBT11" s="31"/>
      <c r="HBU11" s="31"/>
      <c r="HBV11" s="31"/>
      <c r="HBW11" s="31"/>
      <c r="HBX11" s="31"/>
      <c r="HBY11" s="31"/>
      <c r="HBZ11" s="31"/>
      <c r="HCA11" s="31"/>
      <c r="HCB11" s="31"/>
      <c r="HCC11" s="31"/>
      <c r="HCD11" s="31"/>
      <c r="HCE11" s="31"/>
      <c r="HCF11" s="31"/>
      <c r="HCG11" s="31"/>
      <c r="HCH11" s="31"/>
      <c r="HCI11" s="31"/>
      <c r="HCJ11" s="31"/>
      <c r="HCK11" s="31"/>
      <c r="HCL11" s="31"/>
      <c r="HCM11" s="31"/>
      <c r="HCN11" s="31"/>
      <c r="HCO11" s="31"/>
      <c r="HCP11" s="31"/>
      <c r="HCQ11" s="31"/>
      <c r="HCR11" s="31"/>
      <c r="HCS11" s="31"/>
      <c r="HCT11" s="31"/>
      <c r="HCU11" s="31"/>
      <c r="HCV11" s="31"/>
      <c r="HCW11" s="31"/>
      <c r="HCX11" s="31"/>
      <c r="HCY11" s="31"/>
      <c r="HCZ11" s="31"/>
      <c r="HDA11" s="31"/>
      <c r="HDB11" s="31"/>
      <c r="HDC11" s="31"/>
      <c r="HDD11" s="31"/>
      <c r="HDE11" s="31"/>
      <c r="HDF11" s="31"/>
      <c r="HDG11" s="31"/>
      <c r="HDH11" s="31"/>
      <c r="HDI11" s="31"/>
      <c r="HDJ11" s="31"/>
      <c r="HDK11" s="31"/>
      <c r="HDL11" s="31"/>
      <c r="HDM11" s="31"/>
      <c r="HDN11" s="31"/>
      <c r="HDO11" s="31"/>
      <c r="HDP11" s="31"/>
      <c r="HDQ11" s="31"/>
      <c r="HDR11" s="31"/>
      <c r="HDS11" s="31"/>
      <c r="HDT11" s="31"/>
      <c r="HDU11" s="31"/>
      <c r="HDV11" s="31"/>
      <c r="HDW11" s="31"/>
      <c r="HDX11" s="31"/>
      <c r="HDY11" s="31"/>
      <c r="HDZ11" s="31"/>
      <c r="HEA11" s="31"/>
      <c r="HEB11" s="31"/>
      <c r="HEC11" s="31"/>
      <c r="HED11" s="31"/>
      <c r="HEE11" s="31"/>
      <c r="HEF11" s="31"/>
      <c r="HEG11" s="31"/>
      <c r="HEH11" s="31"/>
      <c r="HEI11" s="31"/>
      <c r="HEJ11" s="31"/>
      <c r="HEK11" s="31"/>
      <c r="HEL11" s="31"/>
      <c r="HEM11" s="31"/>
      <c r="HEN11" s="31"/>
      <c r="HEO11" s="31"/>
      <c r="HEP11" s="31"/>
      <c r="HEQ11" s="31"/>
      <c r="HER11" s="31"/>
      <c r="HES11" s="31"/>
      <c r="HET11" s="31"/>
      <c r="HEU11" s="31"/>
      <c r="HEV11" s="31"/>
      <c r="HEW11" s="31"/>
      <c r="HEX11" s="31"/>
      <c r="HEY11" s="31"/>
      <c r="HEZ11" s="31"/>
      <c r="HFA11" s="31"/>
      <c r="HFB11" s="31"/>
      <c r="HFC11" s="31"/>
      <c r="HFD11" s="31"/>
      <c r="HFE11" s="31"/>
      <c r="HFF11" s="31"/>
      <c r="HFG11" s="31"/>
      <c r="HFH11" s="31"/>
      <c r="HFI11" s="31"/>
      <c r="HFJ11" s="31"/>
      <c r="HFK11" s="31"/>
      <c r="HFL11" s="31"/>
      <c r="HFM11" s="31"/>
      <c r="HFN11" s="31"/>
      <c r="HFO11" s="31"/>
      <c r="HFP11" s="31"/>
      <c r="HFQ11" s="31"/>
      <c r="HFR11" s="31"/>
      <c r="HFS11" s="31"/>
      <c r="HFT11" s="31"/>
      <c r="HFU11" s="31"/>
      <c r="HFV11" s="31"/>
      <c r="HFW11" s="31"/>
      <c r="HFX11" s="31"/>
      <c r="HFY11" s="31"/>
      <c r="HFZ11" s="31"/>
      <c r="HGA11" s="31"/>
      <c r="HGB11" s="31"/>
      <c r="HGC11" s="31"/>
      <c r="HGD11" s="31"/>
      <c r="HGE11" s="31"/>
      <c r="HGF11" s="31"/>
      <c r="HGG11" s="31"/>
      <c r="HGH11" s="31"/>
      <c r="HGI11" s="31"/>
      <c r="HGJ11" s="31"/>
      <c r="HGK11" s="31"/>
      <c r="HGL11" s="31"/>
      <c r="HGM11" s="31"/>
      <c r="HGN11" s="31"/>
      <c r="HGO11" s="31"/>
      <c r="HGP11" s="31"/>
      <c r="HGQ11" s="31"/>
      <c r="HGR11" s="31"/>
      <c r="HGS11" s="31"/>
      <c r="HGT11" s="31"/>
      <c r="HGU11" s="31"/>
      <c r="HGV11" s="31"/>
      <c r="HGW11" s="31"/>
      <c r="HGX11" s="31"/>
      <c r="HGY11" s="31"/>
      <c r="HGZ11" s="31"/>
      <c r="HHA11" s="31"/>
      <c r="HHB11" s="31"/>
      <c r="HHC11" s="31"/>
      <c r="HHD11" s="31"/>
      <c r="HHE11" s="31"/>
      <c r="HHF11" s="31"/>
      <c r="HHG11" s="31"/>
      <c r="HHH11" s="31"/>
      <c r="HHI11" s="31"/>
      <c r="HHJ11" s="31"/>
      <c r="HHK11" s="31"/>
      <c r="HHL11" s="31"/>
      <c r="HHM11" s="31"/>
      <c r="HHN11" s="31"/>
      <c r="HHO11" s="31"/>
      <c r="HHP11" s="31"/>
      <c r="HHQ11" s="31"/>
      <c r="HHR11" s="31"/>
      <c r="HHS11" s="31"/>
      <c r="HHT11" s="31"/>
      <c r="HHU11" s="31"/>
      <c r="HHV11" s="31"/>
      <c r="HHW11" s="31"/>
      <c r="HHX11" s="31"/>
      <c r="HHY11" s="31"/>
      <c r="HHZ11" s="31"/>
      <c r="HIA11" s="31"/>
      <c r="HIB11" s="31"/>
      <c r="HIC11" s="31"/>
      <c r="HID11" s="31"/>
      <c r="HIE11" s="31"/>
      <c r="HIF11" s="31"/>
      <c r="HIG11" s="31"/>
      <c r="HIH11" s="31"/>
      <c r="HII11" s="31"/>
      <c r="HIJ11" s="31"/>
      <c r="HIK11" s="31"/>
      <c r="HIL11" s="31"/>
      <c r="HIM11" s="31"/>
      <c r="HIN11" s="31"/>
      <c r="HIO11" s="31"/>
      <c r="HIP11" s="31"/>
      <c r="HIQ11" s="31"/>
      <c r="HIR11" s="31"/>
      <c r="HIS11" s="31"/>
      <c r="HIT11" s="31"/>
      <c r="HIU11" s="31"/>
      <c r="HIV11" s="31"/>
      <c r="HIW11" s="31"/>
      <c r="HIX11" s="31"/>
      <c r="HIY11" s="31"/>
      <c r="HIZ11" s="31"/>
      <c r="HJA11" s="31"/>
      <c r="HJB11" s="31"/>
      <c r="HJC11" s="31"/>
      <c r="HJD11" s="31"/>
      <c r="HJE11" s="31"/>
      <c r="HJF11" s="31"/>
      <c r="HJG11" s="31"/>
      <c r="HJH11" s="31"/>
      <c r="HJI11" s="31"/>
      <c r="HJJ11" s="31"/>
      <c r="HJK11" s="31"/>
      <c r="HJL11" s="31"/>
      <c r="HJM11" s="31"/>
      <c r="HJN11" s="31"/>
      <c r="HJO11" s="31"/>
      <c r="HJP11" s="31"/>
      <c r="HJQ11" s="31"/>
      <c r="HJR11" s="31"/>
      <c r="HJS11" s="31"/>
      <c r="HJT11" s="31"/>
      <c r="HJU11" s="31"/>
      <c r="HJV11" s="31"/>
      <c r="HJW11" s="31"/>
      <c r="HJX11" s="31"/>
      <c r="HJY11" s="31"/>
      <c r="HJZ11" s="31"/>
      <c r="HKA11" s="31"/>
      <c r="HKB11" s="31"/>
      <c r="HKC11" s="31"/>
      <c r="HKD11" s="31"/>
      <c r="HKE11" s="31"/>
      <c r="HKF11" s="31"/>
      <c r="HKG11" s="31"/>
      <c r="HKH11" s="31"/>
      <c r="HKI11" s="31"/>
      <c r="HKJ11" s="31"/>
      <c r="HKK11" s="31"/>
      <c r="HKL11" s="31"/>
      <c r="HKM11" s="31"/>
      <c r="HKN11" s="31"/>
      <c r="HKO11" s="31"/>
      <c r="HKP11" s="31"/>
      <c r="HKQ11" s="31"/>
      <c r="HKR11" s="31"/>
      <c r="HKS11" s="31"/>
      <c r="HKT11" s="31"/>
      <c r="HKU11" s="31"/>
      <c r="HKV11" s="31"/>
      <c r="HKW11" s="31"/>
      <c r="HKX11" s="31"/>
      <c r="HKY11" s="31"/>
      <c r="HKZ11" s="31"/>
      <c r="HLA11" s="31"/>
      <c r="HLB11" s="31"/>
      <c r="HLC11" s="31"/>
      <c r="HLD11" s="31"/>
      <c r="HLE11" s="31"/>
      <c r="HLF11" s="31"/>
      <c r="HLG11" s="31"/>
      <c r="HLH11" s="31"/>
      <c r="HLI11" s="31"/>
      <c r="HLJ11" s="31"/>
      <c r="HLK11" s="31"/>
      <c r="HLL11" s="31"/>
      <c r="HLM11" s="31"/>
      <c r="HLN11" s="31"/>
      <c r="HLO11" s="31"/>
      <c r="HLP11" s="31"/>
      <c r="HLQ11" s="31"/>
      <c r="HLR11" s="31"/>
      <c r="HLS11" s="31"/>
      <c r="HLT11" s="31"/>
      <c r="HLU11" s="31"/>
      <c r="HLV11" s="31"/>
      <c r="HLW11" s="31"/>
      <c r="HLX11" s="31"/>
      <c r="HLY11" s="31"/>
      <c r="HLZ11" s="31"/>
      <c r="HMA11" s="31"/>
      <c r="HMB11" s="31"/>
      <c r="HMC11" s="31"/>
      <c r="HMD11" s="31"/>
      <c r="HME11" s="31"/>
      <c r="HMF11" s="31"/>
      <c r="HMG11" s="31"/>
      <c r="HMH11" s="31"/>
      <c r="HMI11" s="31"/>
      <c r="HMJ11" s="31"/>
      <c r="HMK11" s="31"/>
      <c r="HML11" s="31"/>
      <c r="HMM11" s="31"/>
      <c r="HMN11" s="31"/>
      <c r="HMO11" s="31"/>
      <c r="HMP11" s="31"/>
      <c r="HMQ11" s="31"/>
      <c r="HMR11" s="31"/>
      <c r="HMS11" s="31"/>
      <c r="HMT11" s="31"/>
      <c r="HMU11" s="31"/>
      <c r="HMV11" s="31"/>
      <c r="HMW11" s="31"/>
      <c r="HMX11" s="31"/>
      <c r="HMY11" s="31"/>
      <c r="HMZ11" s="31"/>
      <c r="HNA11" s="31"/>
      <c r="HNB11" s="31"/>
      <c r="HNC11" s="31"/>
      <c r="HND11" s="31"/>
      <c r="HNE11" s="31"/>
      <c r="HNF11" s="31"/>
      <c r="HNG11" s="31"/>
      <c r="HNH11" s="31"/>
      <c r="HNI11" s="31"/>
      <c r="HNJ11" s="31"/>
      <c r="HNK11" s="31"/>
      <c r="HNL11" s="31"/>
      <c r="HNM11" s="31"/>
      <c r="HNN11" s="31"/>
      <c r="HNO11" s="31"/>
      <c r="HNP11" s="31"/>
      <c r="HNQ11" s="31"/>
      <c r="HNR11" s="31"/>
      <c r="HNS11" s="31"/>
      <c r="HNT11" s="31"/>
      <c r="HNU11" s="31"/>
      <c r="HNV11" s="31"/>
      <c r="HNW11" s="31"/>
      <c r="HNX11" s="31"/>
      <c r="HNY11" s="31"/>
      <c r="HNZ11" s="31"/>
      <c r="HOA11" s="31"/>
      <c r="HOB11" s="31"/>
      <c r="HOC11" s="31"/>
      <c r="HOD11" s="31"/>
      <c r="HOE11" s="31"/>
      <c r="HOF11" s="31"/>
      <c r="HOG11" s="31"/>
      <c r="HOH11" s="31"/>
      <c r="HOI11" s="31"/>
      <c r="HOJ11" s="31"/>
      <c r="HOK11" s="31"/>
      <c r="HOL11" s="31"/>
      <c r="HOM11" s="31"/>
      <c r="HON11" s="31"/>
      <c r="HOO11" s="31"/>
      <c r="HOP11" s="31"/>
      <c r="HOQ11" s="31"/>
      <c r="HOR11" s="31"/>
      <c r="HOS11" s="31"/>
      <c r="HOT11" s="31"/>
      <c r="HOU11" s="31"/>
      <c r="HOV11" s="31"/>
      <c r="HOW11" s="31"/>
      <c r="HOX11" s="31"/>
      <c r="HOY11" s="31"/>
      <c r="HOZ11" s="31"/>
      <c r="HPA11" s="31"/>
      <c r="HPB11" s="31"/>
      <c r="HPC11" s="31"/>
      <c r="HPD11" s="31"/>
      <c r="HPE11" s="31"/>
      <c r="HPF11" s="31"/>
      <c r="HPG11" s="31"/>
      <c r="HPH11" s="31"/>
      <c r="HPI11" s="31"/>
      <c r="HPJ11" s="31"/>
      <c r="HPK11" s="31"/>
      <c r="HPL11" s="31"/>
      <c r="HPM11" s="31"/>
      <c r="HPN11" s="31"/>
      <c r="HPO11" s="31"/>
      <c r="HPP11" s="31"/>
      <c r="HPQ11" s="31"/>
      <c r="HPR11" s="31"/>
      <c r="HPS11" s="31"/>
      <c r="HPT11" s="31"/>
      <c r="HPU11" s="31"/>
      <c r="HPV11" s="31"/>
      <c r="HPW11" s="31"/>
      <c r="HPX11" s="31"/>
      <c r="HPY11" s="31"/>
      <c r="HPZ11" s="31"/>
      <c r="HQA11" s="31"/>
      <c r="HQB11" s="31"/>
      <c r="HQC11" s="31"/>
      <c r="HQD11" s="31"/>
      <c r="HQE11" s="31"/>
      <c r="HQF11" s="31"/>
      <c r="HQG11" s="31"/>
      <c r="HQH11" s="31"/>
      <c r="HQI11" s="31"/>
      <c r="HQJ11" s="31"/>
      <c r="HQK11" s="31"/>
      <c r="HQL11" s="31"/>
      <c r="HQM11" s="31"/>
      <c r="HQN11" s="31"/>
      <c r="HQO11" s="31"/>
      <c r="HQP11" s="31"/>
      <c r="HQQ11" s="31"/>
      <c r="HQR11" s="31"/>
      <c r="HQS11" s="31"/>
      <c r="HQT11" s="31"/>
      <c r="HQU11" s="31"/>
      <c r="HQV11" s="31"/>
      <c r="HQW11" s="31"/>
      <c r="HQX11" s="31"/>
      <c r="HQY11" s="31"/>
      <c r="HQZ11" s="31"/>
      <c r="HRA11" s="31"/>
      <c r="HRB11" s="31"/>
      <c r="HRC11" s="31"/>
      <c r="HRD11" s="31"/>
      <c r="HRE11" s="31"/>
      <c r="HRF11" s="31"/>
      <c r="HRG11" s="31"/>
      <c r="HRH11" s="31"/>
      <c r="HRI11" s="31"/>
      <c r="HRJ11" s="31"/>
      <c r="HRK11" s="31"/>
      <c r="HRL11" s="31"/>
      <c r="HRM11" s="31"/>
      <c r="HRN11" s="31"/>
      <c r="HRO11" s="31"/>
      <c r="HRP11" s="31"/>
      <c r="HRQ11" s="31"/>
      <c r="HRR11" s="31"/>
      <c r="HRS11" s="31"/>
      <c r="HRT11" s="31"/>
      <c r="HRU11" s="31"/>
      <c r="HRV11" s="31"/>
      <c r="HRW11" s="31"/>
      <c r="HRX11" s="31"/>
      <c r="HRY11" s="31"/>
      <c r="HRZ11" s="31"/>
      <c r="HSA11" s="31"/>
      <c r="HSB11" s="31"/>
      <c r="HSC11" s="31"/>
      <c r="HSD11" s="31"/>
      <c r="HSE11" s="31"/>
      <c r="HSF11" s="31"/>
      <c r="HSG11" s="31"/>
      <c r="HSH11" s="31"/>
      <c r="HSI11" s="31"/>
      <c r="HSJ11" s="31"/>
      <c r="HSK11" s="31"/>
      <c r="HSL11" s="31"/>
      <c r="HSM11" s="31"/>
      <c r="HSN11" s="31"/>
      <c r="HSO11" s="31"/>
      <c r="HSP11" s="31"/>
      <c r="HSQ11" s="31"/>
      <c r="HSR11" s="31"/>
      <c r="HSS11" s="31"/>
      <c r="HST11" s="31"/>
      <c r="HSU11" s="31"/>
      <c r="HSV11" s="31"/>
      <c r="HSW11" s="31"/>
      <c r="HSX11" s="31"/>
      <c r="HSY11" s="31"/>
      <c r="HSZ11" s="31"/>
      <c r="HTA11" s="31"/>
      <c r="HTB11" s="31"/>
      <c r="HTC11" s="31"/>
      <c r="HTD11" s="31"/>
      <c r="HTE11" s="31"/>
      <c r="HTF11" s="31"/>
      <c r="HTG11" s="31"/>
      <c r="HTH11" s="31"/>
      <c r="HTI11" s="31"/>
      <c r="HTJ11" s="31"/>
      <c r="HTK11" s="31"/>
      <c r="HTL11" s="31"/>
      <c r="HTM11" s="31"/>
      <c r="HTN11" s="31"/>
      <c r="HTO11" s="31"/>
      <c r="HTP11" s="31"/>
      <c r="HTQ11" s="31"/>
      <c r="HTR11" s="31"/>
      <c r="HTS11" s="31"/>
      <c r="HTT11" s="31"/>
      <c r="HTU11" s="31"/>
      <c r="HTV11" s="31"/>
      <c r="HTW11" s="31"/>
      <c r="HTX11" s="31"/>
      <c r="HTY11" s="31"/>
      <c r="HTZ11" s="31"/>
      <c r="HUA11" s="31"/>
      <c r="HUB11" s="31"/>
      <c r="HUC11" s="31"/>
      <c r="HUD11" s="31"/>
      <c r="HUE11" s="31"/>
      <c r="HUF11" s="31"/>
      <c r="HUG11" s="31"/>
      <c r="HUH11" s="31"/>
      <c r="HUI11" s="31"/>
      <c r="HUJ11" s="31"/>
      <c r="HUK11" s="31"/>
      <c r="HUL11" s="31"/>
      <c r="HUM11" s="31"/>
      <c r="HUN11" s="31"/>
      <c r="HUO11" s="31"/>
      <c r="HUP11" s="31"/>
      <c r="HUQ11" s="31"/>
      <c r="HUR11" s="31"/>
      <c r="HUS11" s="31"/>
      <c r="HUT11" s="31"/>
      <c r="HUU11" s="31"/>
      <c r="HUV11" s="31"/>
      <c r="HUW11" s="31"/>
      <c r="HUX11" s="31"/>
      <c r="HUY11" s="31"/>
      <c r="HUZ11" s="31"/>
      <c r="HVA11" s="31"/>
      <c r="HVB11" s="31"/>
      <c r="HVC11" s="31"/>
      <c r="HVD11" s="31"/>
      <c r="HVE11" s="31"/>
      <c r="HVF11" s="31"/>
      <c r="HVG11" s="31"/>
      <c r="HVH11" s="31"/>
      <c r="HVI11" s="31"/>
      <c r="HVJ11" s="31"/>
      <c r="HVK11" s="31"/>
      <c r="HVL11" s="31"/>
      <c r="HVM11" s="31"/>
      <c r="HVN11" s="31"/>
      <c r="HVO11" s="31"/>
      <c r="HVP11" s="31"/>
      <c r="HVQ11" s="31"/>
      <c r="HVR11" s="31"/>
      <c r="HVS11" s="31"/>
      <c r="HVT11" s="31"/>
      <c r="HVU11" s="31"/>
      <c r="HVV11" s="31"/>
      <c r="HVW11" s="31"/>
      <c r="HVX11" s="31"/>
      <c r="HVY11" s="31"/>
      <c r="HVZ11" s="31"/>
      <c r="HWA11" s="31"/>
      <c r="HWB11" s="31"/>
      <c r="HWC11" s="31"/>
      <c r="HWD11" s="31"/>
      <c r="HWE11" s="31"/>
      <c r="HWF11" s="31"/>
      <c r="HWG11" s="31"/>
      <c r="HWH11" s="31"/>
      <c r="HWI11" s="31"/>
      <c r="HWJ11" s="31"/>
      <c r="HWK11" s="31"/>
      <c r="HWL11" s="31"/>
      <c r="HWM11" s="31"/>
      <c r="HWN11" s="31"/>
      <c r="HWO11" s="31"/>
      <c r="HWP11" s="31"/>
      <c r="HWQ11" s="31"/>
      <c r="HWR11" s="31"/>
      <c r="HWS11" s="31"/>
      <c r="HWT11" s="31"/>
      <c r="HWU11" s="31"/>
      <c r="HWV11" s="31"/>
      <c r="HWW11" s="31"/>
      <c r="HWX11" s="31"/>
      <c r="HWY11" s="31"/>
      <c r="HWZ11" s="31"/>
      <c r="HXA11" s="31"/>
      <c r="HXB11" s="31"/>
      <c r="HXC11" s="31"/>
      <c r="HXD11" s="31"/>
      <c r="HXE11" s="31"/>
      <c r="HXF11" s="31"/>
      <c r="HXG11" s="31"/>
      <c r="HXH11" s="31"/>
      <c r="HXI11" s="31"/>
      <c r="HXJ11" s="31"/>
      <c r="HXK11" s="31"/>
      <c r="HXL11" s="31"/>
      <c r="HXM11" s="31"/>
      <c r="HXN11" s="31"/>
      <c r="HXO11" s="31"/>
      <c r="HXP11" s="31"/>
      <c r="HXQ11" s="31"/>
      <c r="HXR11" s="31"/>
      <c r="HXS11" s="31"/>
      <c r="HXT11" s="31"/>
      <c r="HXU11" s="31"/>
      <c r="HXV11" s="31"/>
      <c r="HXW11" s="31"/>
      <c r="HXX11" s="31"/>
      <c r="HXY11" s="31"/>
      <c r="HXZ11" s="31"/>
      <c r="HYA11" s="31"/>
      <c r="HYB11" s="31"/>
      <c r="HYC11" s="31"/>
      <c r="HYD11" s="31"/>
      <c r="HYE11" s="31"/>
      <c r="HYF11" s="31"/>
      <c r="HYG11" s="31"/>
      <c r="HYH11" s="31"/>
      <c r="HYI11" s="31"/>
      <c r="HYJ11" s="31"/>
      <c r="HYK11" s="31"/>
      <c r="HYL11" s="31"/>
      <c r="HYM11" s="31"/>
      <c r="HYN11" s="31"/>
      <c r="HYO11" s="31"/>
      <c r="HYP11" s="31"/>
      <c r="HYQ11" s="31"/>
      <c r="HYR11" s="31"/>
      <c r="HYS11" s="31"/>
      <c r="HYT11" s="31"/>
      <c r="HYU11" s="31"/>
      <c r="HYV11" s="31"/>
      <c r="HYW11" s="31"/>
      <c r="HYX11" s="31"/>
      <c r="HYY11" s="31"/>
      <c r="HYZ11" s="31"/>
      <c r="HZA11" s="31"/>
      <c r="HZB11" s="31"/>
      <c r="HZC11" s="31"/>
      <c r="HZD11" s="31"/>
      <c r="HZE11" s="31"/>
      <c r="HZF11" s="31"/>
      <c r="HZG11" s="31"/>
      <c r="HZH11" s="31"/>
      <c r="HZI11" s="31"/>
      <c r="HZJ11" s="31"/>
      <c r="HZK11" s="31"/>
      <c r="HZL11" s="31"/>
      <c r="HZM11" s="31"/>
      <c r="HZN11" s="31"/>
      <c r="HZO11" s="31"/>
      <c r="HZP11" s="31"/>
      <c r="HZQ11" s="31"/>
      <c r="HZR11" s="31"/>
      <c r="HZS11" s="31"/>
      <c r="HZT11" s="31"/>
      <c r="HZU11" s="31"/>
      <c r="HZV11" s="31"/>
      <c r="HZW11" s="31"/>
      <c r="HZX11" s="31"/>
      <c r="HZY11" s="31"/>
      <c r="HZZ11" s="31"/>
      <c r="IAA11" s="31"/>
      <c r="IAB11" s="31"/>
      <c r="IAC11" s="31"/>
      <c r="IAD11" s="31"/>
      <c r="IAE11" s="31"/>
      <c r="IAF11" s="31"/>
      <c r="IAG11" s="31"/>
      <c r="IAH11" s="31"/>
      <c r="IAI11" s="31"/>
      <c r="IAJ11" s="31"/>
      <c r="IAK11" s="31"/>
      <c r="IAL11" s="31"/>
      <c r="IAM11" s="31"/>
      <c r="IAN11" s="31"/>
      <c r="IAO11" s="31"/>
      <c r="IAP11" s="31"/>
      <c r="IAQ11" s="31"/>
      <c r="IAR11" s="31"/>
      <c r="IAS11" s="31"/>
      <c r="IAT11" s="31"/>
      <c r="IAU11" s="31"/>
      <c r="IAV11" s="31"/>
      <c r="IAW11" s="31"/>
      <c r="IAX11" s="31"/>
      <c r="IAY11" s="31"/>
      <c r="IAZ11" s="31"/>
      <c r="IBA11" s="31"/>
      <c r="IBB11" s="31"/>
      <c r="IBC11" s="31"/>
      <c r="IBD11" s="31"/>
      <c r="IBE11" s="31"/>
      <c r="IBF11" s="31"/>
      <c r="IBG11" s="31"/>
      <c r="IBH11" s="31"/>
      <c r="IBI11" s="31"/>
      <c r="IBJ11" s="31"/>
      <c r="IBK11" s="31"/>
      <c r="IBL11" s="31"/>
      <c r="IBM11" s="31"/>
      <c r="IBN11" s="31"/>
      <c r="IBO11" s="31"/>
      <c r="IBP11" s="31"/>
      <c r="IBQ11" s="31"/>
      <c r="IBR11" s="31"/>
      <c r="IBS11" s="31"/>
      <c r="IBT11" s="31"/>
      <c r="IBU11" s="31"/>
      <c r="IBV11" s="31"/>
      <c r="IBW11" s="31"/>
      <c r="IBX11" s="31"/>
      <c r="IBY11" s="31"/>
      <c r="IBZ11" s="31"/>
      <c r="ICA11" s="31"/>
      <c r="ICB11" s="31"/>
      <c r="ICC11" s="31"/>
      <c r="ICD11" s="31"/>
      <c r="ICE11" s="31"/>
      <c r="ICF11" s="31"/>
      <c r="ICG11" s="31"/>
      <c r="ICH11" s="31"/>
      <c r="ICI11" s="31"/>
      <c r="ICJ11" s="31"/>
      <c r="ICK11" s="31"/>
      <c r="ICL11" s="31"/>
      <c r="ICM11" s="31"/>
      <c r="ICN11" s="31"/>
      <c r="ICO11" s="31"/>
      <c r="ICP11" s="31"/>
      <c r="ICQ11" s="31"/>
      <c r="ICR11" s="31"/>
      <c r="ICS11" s="31"/>
      <c r="ICT11" s="31"/>
      <c r="ICU11" s="31"/>
      <c r="ICV11" s="31"/>
      <c r="ICW11" s="31"/>
      <c r="ICX11" s="31"/>
      <c r="ICY11" s="31"/>
      <c r="ICZ11" s="31"/>
      <c r="IDA11" s="31"/>
      <c r="IDB11" s="31"/>
      <c r="IDC11" s="31"/>
      <c r="IDD11" s="31"/>
      <c r="IDE11" s="31"/>
      <c r="IDF11" s="31"/>
      <c r="IDG11" s="31"/>
      <c r="IDH11" s="31"/>
      <c r="IDI11" s="31"/>
      <c r="IDJ11" s="31"/>
      <c r="IDK11" s="31"/>
      <c r="IDL11" s="31"/>
      <c r="IDM11" s="31"/>
      <c r="IDN11" s="31"/>
      <c r="IDO11" s="31"/>
      <c r="IDP11" s="31"/>
      <c r="IDQ11" s="31"/>
      <c r="IDR11" s="31"/>
      <c r="IDS11" s="31"/>
      <c r="IDT11" s="31"/>
      <c r="IDU11" s="31"/>
      <c r="IDV11" s="31"/>
      <c r="IDW11" s="31"/>
      <c r="IDX11" s="31"/>
      <c r="IDY11" s="31"/>
      <c r="IDZ11" s="31"/>
      <c r="IEA11" s="31"/>
      <c r="IEB11" s="31"/>
      <c r="IEC11" s="31"/>
      <c r="IED11" s="31"/>
      <c r="IEE11" s="31"/>
      <c r="IEF11" s="31"/>
      <c r="IEG11" s="31"/>
      <c r="IEH11" s="31"/>
      <c r="IEI11" s="31"/>
      <c r="IEJ11" s="31"/>
      <c r="IEK11" s="31"/>
      <c r="IEL11" s="31"/>
      <c r="IEM11" s="31"/>
      <c r="IEN11" s="31"/>
      <c r="IEO11" s="31"/>
      <c r="IEP11" s="31"/>
      <c r="IEQ11" s="31"/>
      <c r="IER11" s="31"/>
      <c r="IES11" s="31"/>
      <c r="IET11" s="31"/>
      <c r="IEU11" s="31"/>
      <c r="IEV11" s="31"/>
      <c r="IEW11" s="31"/>
      <c r="IEX11" s="31"/>
      <c r="IEY11" s="31"/>
      <c r="IEZ11" s="31"/>
      <c r="IFA11" s="31"/>
      <c r="IFB11" s="31"/>
      <c r="IFC11" s="31"/>
      <c r="IFD11" s="31"/>
      <c r="IFE11" s="31"/>
      <c r="IFF11" s="31"/>
      <c r="IFG11" s="31"/>
      <c r="IFH11" s="31"/>
      <c r="IFI11" s="31"/>
      <c r="IFJ11" s="31"/>
      <c r="IFK11" s="31"/>
      <c r="IFL11" s="31"/>
      <c r="IFM11" s="31"/>
      <c r="IFN11" s="31"/>
      <c r="IFO11" s="31"/>
      <c r="IFP11" s="31"/>
      <c r="IFQ11" s="31"/>
      <c r="IFR11" s="31"/>
      <c r="IFS11" s="31"/>
      <c r="IFT11" s="31"/>
      <c r="IFU11" s="31"/>
      <c r="IFV11" s="31"/>
      <c r="IFW11" s="31"/>
      <c r="IFX11" s="31"/>
      <c r="IFY11" s="31"/>
      <c r="IFZ11" s="31"/>
      <c r="IGA11" s="31"/>
      <c r="IGB11" s="31"/>
      <c r="IGC11" s="31"/>
      <c r="IGD11" s="31"/>
      <c r="IGE11" s="31"/>
      <c r="IGF11" s="31"/>
      <c r="IGG11" s="31"/>
      <c r="IGH11" s="31"/>
      <c r="IGI11" s="31"/>
      <c r="IGJ11" s="31"/>
      <c r="IGK11" s="31"/>
      <c r="IGL11" s="31"/>
      <c r="IGM11" s="31"/>
      <c r="IGN11" s="31"/>
      <c r="IGO11" s="31"/>
      <c r="IGP11" s="31"/>
      <c r="IGQ11" s="31"/>
      <c r="IGR11" s="31"/>
      <c r="IGS11" s="31"/>
      <c r="IGT11" s="31"/>
      <c r="IGU11" s="31"/>
      <c r="IGV11" s="31"/>
      <c r="IGW11" s="31"/>
      <c r="IGX11" s="31"/>
      <c r="IGY11" s="31"/>
      <c r="IGZ11" s="31"/>
      <c r="IHA11" s="31"/>
      <c r="IHB11" s="31"/>
      <c r="IHC11" s="31"/>
      <c r="IHD11" s="31"/>
      <c r="IHE11" s="31"/>
      <c r="IHF11" s="31"/>
      <c r="IHG11" s="31"/>
      <c r="IHH11" s="31"/>
      <c r="IHI11" s="31"/>
      <c r="IHJ11" s="31"/>
      <c r="IHK11" s="31"/>
      <c r="IHL11" s="31"/>
      <c r="IHM11" s="31"/>
      <c r="IHN11" s="31"/>
      <c r="IHO11" s="31"/>
      <c r="IHP11" s="31"/>
      <c r="IHQ11" s="31"/>
      <c r="IHR11" s="31"/>
      <c r="IHS11" s="31"/>
      <c r="IHT11" s="31"/>
      <c r="IHU11" s="31"/>
      <c r="IHV11" s="31"/>
      <c r="IHW11" s="31"/>
      <c r="IHX11" s="31"/>
      <c r="IHY11" s="31"/>
      <c r="IHZ11" s="31"/>
      <c r="IIA11" s="31"/>
      <c r="IIB11" s="31"/>
      <c r="IIC11" s="31"/>
      <c r="IID11" s="31"/>
      <c r="IIE11" s="31"/>
      <c r="IIF11" s="31"/>
      <c r="IIG11" s="31"/>
      <c r="IIH11" s="31"/>
      <c r="III11" s="31"/>
      <c r="IIJ11" s="31"/>
      <c r="IIK11" s="31"/>
      <c r="IIL11" s="31"/>
      <c r="IIM11" s="31"/>
      <c r="IIN11" s="31"/>
      <c r="IIO11" s="31"/>
      <c r="IIP11" s="31"/>
      <c r="IIQ11" s="31"/>
      <c r="IIR11" s="31"/>
      <c r="IIS11" s="31"/>
      <c r="IIT11" s="31"/>
      <c r="IIU11" s="31"/>
      <c r="IIV11" s="31"/>
      <c r="IIW11" s="31"/>
      <c r="IIX11" s="31"/>
      <c r="IIY11" s="31"/>
      <c r="IIZ11" s="31"/>
      <c r="IJA11" s="31"/>
      <c r="IJB11" s="31"/>
      <c r="IJC11" s="31"/>
      <c r="IJD11" s="31"/>
      <c r="IJE11" s="31"/>
      <c r="IJF11" s="31"/>
      <c r="IJG11" s="31"/>
      <c r="IJH11" s="31"/>
      <c r="IJI11" s="31"/>
      <c r="IJJ11" s="31"/>
      <c r="IJK11" s="31"/>
      <c r="IJL11" s="31"/>
      <c r="IJM11" s="31"/>
      <c r="IJN11" s="31"/>
      <c r="IJO11" s="31"/>
      <c r="IJP11" s="31"/>
      <c r="IJQ11" s="31"/>
      <c r="IJR11" s="31"/>
      <c r="IJS11" s="31"/>
      <c r="IJT11" s="31"/>
      <c r="IJU11" s="31"/>
      <c r="IJV11" s="31"/>
      <c r="IJW11" s="31"/>
      <c r="IJX11" s="31"/>
      <c r="IJY11" s="31"/>
      <c r="IJZ11" s="31"/>
      <c r="IKA11" s="31"/>
      <c r="IKB11" s="31"/>
      <c r="IKC11" s="31"/>
      <c r="IKD11" s="31"/>
      <c r="IKE11" s="31"/>
      <c r="IKF11" s="31"/>
      <c r="IKG11" s="31"/>
      <c r="IKH11" s="31"/>
      <c r="IKI11" s="31"/>
      <c r="IKJ11" s="31"/>
      <c r="IKK11" s="31"/>
      <c r="IKL11" s="31"/>
      <c r="IKM11" s="31"/>
      <c r="IKN11" s="31"/>
      <c r="IKO11" s="31"/>
      <c r="IKP11" s="31"/>
      <c r="IKQ11" s="31"/>
      <c r="IKR11" s="31"/>
      <c r="IKS11" s="31"/>
      <c r="IKT11" s="31"/>
      <c r="IKU11" s="31"/>
      <c r="IKV11" s="31"/>
      <c r="IKW11" s="31"/>
      <c r="IKX11" s="31"/>
      <c r="IKY11" s="31"/>
      <c r="IKZ11" s="31"/>
      <c r="ILA11" s="31"/>
      <c r="ILB11" s="31"/>
      <c r="ILC11" s="31"/>
      <c r="ILD11" s="31"/>
      <c r="ILE11" s="31"/>
      <c r="ILF11" s="31"/>
      <c r="ILG11" s="31"/>
      <c r="ILH11" s="31"/>
      <c r="ILI11" s="31"/>
      <c r="ILJ11" s="31"/>
      <c r="ILK11" s="31"/>
      <c r="ILL11" s="31"/>
      <c r="ILM11" s="31"/>
      <c r="ILN11" s="31"/>
      <c r="ILO11" s="31"/>
      <c r="ILP11" s="31"/>
      <c r="ILQ11" s="31"/>
      <c r="ILR11" s="31"/>
      <c r="ILS11" s="31"/>
      <c r="ILT11" s="31"/>
      <c r="ILU11" s="31"/>
      <c r="ILV11" s="31"/>
      <c r="ILW11" s="31"/>
      <c r="ILX11" s="31"/>
      <c r="ILY11" s="31"/>
      <c r="ILZ11" s="31"/>
      <c r="IMA11" s="31"/>
      <c r="IMB11" s="31"/>
      <c r="IMC11" s="31"/>
      <c r="IMD11" s="31"/>
      <c r="IME11" s="31"/>
      <c r="IMF11" s="31"/>
      <c r="IMG11" s="31"/>
      <c r="IMH11" s="31"/>
      <c r="IMI11" s="31"/>
      <c r="IMJ11" s="31"/>
      <c r="IMK11" s="31"/>
      <c r="IML11" s="31"/>
      <c r="IMM11" s="31"/>
      <c r="IMN11" s="31"/>
      <c r="IMO11" s="31"/>
      <c r="IMP11" s="31"/>
      <c r="IMQ11" s="31"/>
      <c r="IMR11" s="31"/>
      <c r="IMS11" s="31"/>
      <c r="IMT11" s="31"/>
      <c r="IMU11" s="31"/>
      <c r="IMV11" s="31"/>
      <c r="IMW11" s="31"/>
      <c r="IMX11" s="31"/>
      <c r="IMY11" s="31"/>
      <c r="IMZ11" s="31"/>
      <c r="INA11" s="31"/>
      <c r="INB11" s="31"/>
      <c r="INC11" s="31"/>
      <c r="IND11" s="31"/>
      <c r="INE11" s="31"/>
      <c r="INF11" s="31"/>
      <c r="ING11" s="31"/>
      <c r="INH11" s="31"/>
      <c r="INI11" s="31"/>
      <c r="INJ11" s="31"/>
      <c r="INK11" s="31"/>
      <c r="INL11" s="31"/>
      <c r="INM11" s="31"/>
      <c r="INN11" s="31"/>
      <c r="INO11" s="31"/>
      <c r="INP11" s="31"/>
      <c r="INQ11" s="31"/>
      <c r="INR11" s="31"/>
      <c r="INS11" s="31"/>
      <c r="INT11" s="31"/>
      <c r="INU11" s="31"/>
      <c r="INV11" s="31"/>
      <c r="INW11" s="31"/>
      <c r="INX11" s="31"/>
      <c r="INY11" s="31"/>
      <c r="INZ11" s="31"/>
      <c r="IOA11" s="31"/>
      <c r="IOB11" s="31"/>
      <c r="IOC11" s="31"/>
      <c r="IOD11" s="31"/>
      <c r="IOE11" s="31"/>
      <c r="IOF11" s="31"/>
      <c r="IOG11" s="31"/>
      <c r="IOH11" s="31"/>
      <c r="IOI11" s="31"/>
      <c r="IOJ11" s="31"/>
      <c r="IOK11" s="31"/>
      <c r="IOL11" s="31"/>
      <c r="IOM11" s="31"/>
      <c r="ION11" s="31"/>
      <c r="IOO11" s="31"/>
      <c r="IOP11" s="31"/>
      <c r="IOQ11" s="31"/>
      <c r="IOR11" s="31"/>
      <c r="IOS11" s="31"/>
      <c r="IOT11" s="31"/>
      <c r="IOU11" s="31"/>
      <c r="IOV11" s="31"/>
      <c r="IOW11" s="31"/>
      <c r="IOX11" s="31"/>
      <c r="IOY11" s="31"/>
      <c r="IOZ11" s="31"/>
      <c r="IPA11" s="31"/>
      <c r="IPB11" s="31"/>
      <c r="IPC11" s="31"/>
      <c r="IPD11" s="31"/>
      <c r="IPE11" s="31"/>
      <c r="IPF11" s="31"/>
      <c r="IPG11" s="31"/>
      <c r="IPH11" s="31"/>
      <c r="IPI11" s="31"/>
      <c r="IPJ11" s="31"/>
      <c r="IPK11" s="31"/>
      <c r="IPL11" s="31"/>
      <c r="IPM11" s="31"/>
      <c r="IPN11" s="31"/>
      <c r="IPO11" s="31"/>
      <c r="IPP11" s="31"/>
      <c r="IPQ11" s="31"/>
      <c r="IPR11" s="31"/>
      <c r="IPS11" s="31"/>
      <c r="IPT11" s="31"/>
      <c r="IPU11" s="31"/>
      <c r="IPV11" s="31"/>
      <c r="IPW11" s="31"/>
      <c r="IPX11" s="31"/>
      <c r="IPY11" s="31"/>
      <c r="IPZ11" s="31"/>
      <c r="IQA11" s="31"/>
      <c r="IQB11" s="31"/>
      <c r="IQC11" s="31"/>
      <c r="IQD11" s="31"/>
      <c r="IQE11" s="31"/>
      <c r="IQF11" s="31"/>
      <c r="IQG11" s="31"/>
      <c r="IQH11" s="31"/>
      <c r="IQI11" s="31"/>
      <c r="IQJ11" s="31"/>
      <c r="IQK11" s="31"/>
      <c r="IQL11" s="31"/>
      <c r="IQM11" s="31"/>
      <c r="IQN11" s="31"/>
      <c r="IQO11" s="31"/>
      <c r="IQP11" s="31"/>
      <c r="IQQ11" s="31"/>
      <c r="IQR11" s="31"/>
      <c r="IQS11" s="31"/>
      <c r="IQT11" s="31"/>
      <c r="IQU11" s="31"/>
      <c r="IQV11" s="31"/>
      <c r="IQW11" s="31"/>
      <c r="IQX11" s="31"/>
      <c r="IQY11" s="31"/>
      <c r="IQZ11" s="31"/>
      <c r="IRA11" s="31"/>
      <c r="IRB11" s="31"/>
      <c r="IRC11" s="31"/>
      <c r="IRD11" s="31"/>
      <c r="IRE11" s="31"/>
      <c r="IRF11" s="31"/>
      <c r="IRG11" s="31"/>
      <c r="IRH11" s="31"/>
      <c r="IRI11" s="31"/>
      <c r="IRJ11" s="31"/>
      <c r="IRK11" s="31"/>
      <c r="IRL11" s="31"/>
      <c r="IRM11" s="31"/>
      <c r="IRN11" s="31"/>
      <c r="IRO11" s="31"/>
      <c r="IRP11" s="31"/>
      <c r="IRQ11" s="31"/>
      <c r="IRR11" s="31"/>
      <c r="IRS11" s="31"/>
      <c r="IRT11" s="31"/>
      <c r="IRU11" s="31"/>
      <c r="IRV11" s="31"/>
      <c r="IRW11" s="31"/>
      <c r="IRX11" s="31"/>
      <c r="IRY11" s="31"/>
      <c r="IRZ11" s="31"/>
      <c r="ISA11" s="31"/>
      <c r="ISB11" s="31"/>
      <c r="ISC11" s="31"/>
      <c r="ISD11" s="31"/>
      <c r="ISE11" s="31"/>
      <c r="ISF11" s="31"/>
      <c r="ISG11" s="31"/>
      <c r="ISH11" s="31"/>
      <c r="ISI11" s="31"/>
      <c r="ISJ11" s="31"/>
      <c r="ISK11" s="31"/>
      <c r="ISL11" s="31"/>
      <c r="ISM11" s="31"/>
      <c r="ISN11" s="31"/>
      <c r="ISO11" s="31"/>
      <c r="ISP11" s="31"/>
      <c r="ISQ11" s="31"/>
      <c r="ISR11" s="31"/>
      <c r="ISS11" s="31"/>
      <c r="IST11" s="31"/>
      <c r="ISU11" s="31"/>
      <c r="ISV11" s="31"/>
      <c r="ISW11" s="31"/>
      <c r="ISX11" s="31"/>
      <c r="ISY11" s="31"/>
      <c r="ISZ11" s="31"/>
      <c r="ITA11" s="31"/>
      <c r="ITB11" s="31"/>
      <c r="ITC11" s="31"/>
      <c r="ITD11" s="31"/>
      <c r="ITE11" s="31"/>
      <c r="ITF11" s="31"/>
      <c r="ITG11" s="31"/>
      <c r="ITH11" s="31"/>
      <c r="ITI11" s="31"/>
      <c r="ITJ11" s="31"/>
      <c r="ITK11" s="31"/>
      <c r="ITL11" s="31"/>
      <c r="ITM11" s="31"/>
      <c r="ITN11" s="31"/>
      <c r="ITO11" s="31"/>
      <c r="ITP11" s="31"/>
      <c r="ITQ11" s="31"/>
      <c r="ITR11" s="31"/>
      <c r="ITS11" s="31"/>
      <c r="ITT11" s="31"/>
      <c r="ITU11" s="31"/>
      <c r="ITV11" s="31"/>
      <c r="ITW11" s="31"/>
      <c r="ITX11" s="31"/>
      <c r="ITY11" s="31"/>
      <c r="ITZ11" s="31"/>
      <c r="IUA11" s="31"/>
      <c r="IUB11" s="31"/>
      <c r="IUC11" s="31"/>
      <c r="IUD11" s="31"/>
      <c r="IUE11" s="31"/>
      <c r="IUF11" s="31"/>
      <c r="IUG11" s="31"/>
      <c r="IUH11" s="31"/>
      <c r="IUI11" s="31"/>
      <c r="IUJ11" s="31"/>
      <c r="IUK11" s="31"/>
      <c r="IUL11" s="31"/>
      <c r="IUM11" s="31"/>
      <c r="IUN11" s="31"/>
      <c r="IUO11" s="31"/>
      <c r="IUP11" s="31"/>
      <c r="IUQ11" s="31"/>
      <c r="IUR11" s="31"/>
      <c r="IUS11" s="31"/>
      <c r="IUT11" s="31"/>
      <c r="IUU11" s="31"/>
      <c r="IUV11" s="31"/>
      <c r="IUW11" s="31"/>
      <c r="IUX11" s="31"/>
      <c r="IUY11" s="31"/>
      <c r="IUZ11" s="31"/>
      <c r="IVA11" s="31"/>
      <c r="IVB11" s="31"/>
      <c r="IVC11" s="31"/>
      <c r="IVD11" s="31"/>
      <c r="IVE11" s="31"/>
      <c r="IVF11" s="31"/>
      <c r="IVG11" s="31"/>
      <c r="IVH11" s="31"/>
      <c r="IVI11" s="31"/>
      <c r="IVJ11" s="31"/>
      <c r="IVK11" s="31"/>
      <c r="IVL11" s="31"/>
      <c r="IVM11" s="31"/>
      <c r="IVN11" s="31"/>
      <c r="IVO11" s="31"/>
      <c r="IVP11" s="31"/>
      <c r="IVQ11" s="31"/>
      <c r="IVR11" s="31"/>
      <c r="IVS11" s="31"/>
      <c r="IVT11" s="31"/>
      <c r="IVU11" s="31"/>
      <c r="IVV11" s="31"/>
      <c r="IVW11" s="31"/>
      <c r="IVX11" s="31"/>
      <c r="IVY11" s="31"/>
      <c r="IVZ11" s="31"/>
      <c r="IWA11" s="31"/>
      <c r="IWB11" s="31"/>
      <c r="IWC11" s="31"/>
      <c r="IWD11" s="31"/>
      <c r="IWE11" s="31"/>
      <c r="IWF11" s="31"/>
      <c r="IWG11" s="31"/>
      <c r="IWH11" s="31"/>
      <c r="IWI11" s="31"/>
      <c r="IWJ11" s="31"/>
      <c r="IWK11" s="31"/>
      <c r="IWL11" s="31"/>
      <c r="IWM11" s="31"/>
      <c r="IWN11" s="31"/>
      <c r="IWO11" s="31"/>
      <c r="IWP11" s="31"/>
      <c r="IWQ11" s="31"/>
      <c r="IWR11" s="31"/>
      <c r="IWS11" s="31"/>
      <c r="IWT11" s="31"/>
      <c r="IWU11" s="31"/>
      <c r="IWV11" s="31"/>
      <c r="IWW11" s="31"/>
      <c r="IWX11" s="31"/>
      <c r="IWY11" s="31"/>
      <c r="IWZ11" s="31"/>
      <c r="IXA11" s="31"/>
      <c r="IXB11" s="31"/>
      <c r="IXC11" s="31"/>
      <c r="IXD11" s="31"/>
      <c r="IXE11" s="31"/>
      <c r="IXF11" s="31"/>
      <c r="IXG11" s="31"/>
      <c r="IXH11" s="31"/>
      <c r="IXI11" s="31"/>
      <c r="IXJ11" s="31"/>
      <c r="IXK11" s="31"/>
      <c r="IXL11" s="31"/>
      <c r="IXM11" s="31"/>
      <c r="IXN11" s="31"/>
      <c r="IXO11" s="31"/>
      <c r="IXP11" s="31"/>
      <c r="IXQ11" s="31"/>
      <c r="IXR11" s="31"/>
      <c r="IXS11" s="31"/>
      <c r="IXT11" s="31"/>
      <c r="IXU11" s="31"/>
      <c r="IXV11" s="31"/>
      <c r="IXW11" s="31"/>
      <c r="IXX11" s="31"/>
      <c r="IXY11" s="31"/>
      <c r="IXZ11" s="31"/>
      <c r="IYA11" s="31"/>
      <c r="IYB11" s="31"/>
      <c r="IYC11" s="31"/>
      <c r="IYD11" s="31"/>
      <c r="IYE11" s="31"/>
      <c r="IYF11" s="31"/>
      <c r="IYG11" s="31"/>
      <c r="IYH11" s="31"/>
      <c r="IYI11" s="31"/>
      <c r="IYJ11" s="31"/>
      <c r="IYK11" s="31"/>
      <c r="IYL11" s="31"/>
      <c r="IYM11" s="31"/>
      <c r="IYN11" s="31"/>
      <c r="IYO11" s="31"/>
      <c r="IYP11" s="31"/>
      <c r="IYQ11" s="31"/>
      <c r="IYR11" s="31"/>
      <c r="IYS11" s="31"/>
      <c r="IYT11" s="31"/>
      <c r="IYU11" s="31"/>
      <c r="IYV11" s="31"/>
      <c r="IYW11" s="31"/>
      <c r="IYX11" s="31"/>
      <c r="IYY11" s="31"/>
      <c r="IYZ11" s="31"/>
      <c r="IZA11" s="31"/>
      <c r="IZB11" s="31"/>
      <c r="IZC11" s="31"/>
      <c r="IZD11" s="31"/>
      <c r="IZE11" s="31"/>
      <c r="IZF11" s="31"/>
      <c r="IZG11" s="31"/>
      <c r="IZH11" s="31"/>
      <c r="IZI11" s="31"/>
      <c r="IZJ11" s="31"/>
      <c r="IZK11" s="31"/>
      <c r="IZL11" s="31"/>
      <c r="IZM11" s="31"/>
      <c r="IZN11" s="31"/>
      <c r="IZO11" s="31"/>
      <c r="IZP11" s="31"/>
      <c r="IZQ11" s="31"/>
      <c r="IZR11" s="31"/>
      <c r="IZS11" s="31"/>
      <c r="IZT11" s="31"/>
      <c r="IZU11" s="31"/>
      <c r="IZV11" s="31"/>
      <c r="IZW11" s="31"/>
      <c r="IZX11" s="31"/>
      <c r="IZY11" s="31"/>
      <c r="IZZ11" s="31"/>
      <c r="JAA11" s="31"/>
      <c r="JAB11" s="31"/>
      <c r="JAC11" s="31"/>
      <c r="JAD11" s="31"/>
      <c r="JAE11" s="31"/>
      <c r="JAF11" s="31"/>
      <c r="JAG11" s="31"/>
      <c r="JAH11" s="31"/>
      <c r="JAI11" s="31"/>
      <c r="JAJ11" s="31"/>
      <c r="JAK11" s="31"/>
      <c r="JAL11" s="31"/>
      <c r="JAM11" s="31"/>
      <c r="JAN11" s="31"/>
      <c r="JAO11" s="31"/>
      <c r="JAP11" s="31"/>
      <c r="JAQ11" s="31"/>
      <c r="JAR11" s="31"/>
      <c r="JAS11" s="31"/>
      <c r="JAT11" s="31"/>
      <c r="JAU11" s="31"/>
      <c r="JAV11" s="31"/>
      <c r="JAW11" s="31"/>
      <c r="JAX11" s="31"/>
      <c r="JAY11" s="31"/>
      <c r="JAZ11" s="31"/>
      <c r="JBA11" s="31"/>
      <c r="JBB11" s="31"/>
      <c r="JBC11" s="31"/>
      <c r="JBD11" s="31"/>
      <c r="JBE11" s="31"/>
      <c r="JBF11" s="31"/>
      <c r="JBG11" s="31"/>
      <c r="JBH11" s="31"/>
      <c r="JBI11" s="31"/>
      <c r="JBJ11" s="31"/>
      <c r="JBK11" s="31"/>
      <c r="JBL11" s="31"/>
      <c r="JBM11" s="31"/>
      <c r="JBN11" s="31"/>
      <c r="JBO11" s="31"/>
      <c r="JBP11" s="31"/>
      <c r="JBQ11" s="31"/>
      <c r="JBR11" s="31"/>
      <c r="JBS11" s="31"/>
      <c r="JBT11" s="31"/>
      <c r="JBU11" s="31"/>
      <c r="JBV11" s="31"/>
      <c r="JBW11" s="31"/>
      <c r="JBX11" s="31"/>
      <c r="JBY11" s="31"/>
      <c r="JBZ11" s="31"/>
      <c r="JCA11" s="31"/>
      <c r="JCB11" s="31"/>
      <c r="JCC11" s="31"/>
      <c r="JCD11" s="31"/>
      <c r="JCE11" s="31"/>
      <c r="JCF11" s="31"/>
      <c r="JCG11" s="31"/>
      <c r="JCH11" s="31"/>
      <c r="JCI11" s="31"/>
      <c r="JCJ11" s="31"/>
      <c r="JCK11" s="31"/>
      <c r="JCL11" s="31"/>
      <c r="JCM11" s="31"/>
      <c r="JCN11" s="31"/>
      <c r="JCO11" s="31"/>
      <c r="JCP11" s="31"/>
      <c r="JCQ11" s="31"/>
      <c r="JCR11" s="31"/>
      <c r="JCS11" s="31"/>
      <c r="JCT11" s="31"/>
      <c r="JCU11" s="31"/>
      <c r="JCV11" s="31"/>
      <c r="JCW11" s="31"/>
      <c r="JCX11" s="31"/>
      <c r="JCY11" s="31"/>
      <c r="JCZ11" s="31"/>
      <c r="JDA11" s="31"/>
      <c r="JDB11" s="31"/>
      <c r="JDC11" s="31"/>
      <c r="JDD11" s="31"/>
      <c r="JDE11" s="31"/>
      <c r="JDF11" s="31"/>
      <c r="JDG11" s="31"/>
      <c r="JDH11" s="31"/>
      <c r="JDI11" s="31"/>
      <c r="JDJ11" s="31"/>
      <c r="JDK11" s="31"/>
      <c r="JDL11" s="31"/>
      <c r="JDM11" s="31"/>
      <c r="JDN11" s="31"/>
      <c r="JDO11" s="31"/>
      <c r="JDP11" s="31"/>
      <c r="JDQ11" s="31"/>
      <c r="JDR11" s="31"/>
      <c r="JDS11" s="31"/>
      <c r="JDT11" s="31"/>
      <c r="JDU11" s="31"/>
      <c r="JDV11" s="31"/>
      <c r="JDW11" s="31"/>
      <c r="JDX11" s="31"/>
      <c r="JDY11" s="31"/>
      <c r="JDZ11" s="31"/>
      <c r="JEA11" s="31"/>
      <c r="JEB11" s="31"/>
      <c r="JEC11" s="31"/>
      <c r="JED11" s="31"/>
      <c r="JEE11" s="31"/>
      <c r="JEF11" s="31"/>
      <c r="JEG11" s="31"/>
      <c r="JEH11" s="31"/>
      <c r="JEI11" s="31"/>
      <c r="JEJ11" s="31"/>
      <c r="JEK11" s="31"/>
      <c r="JEL11" s="31"/>
      <c r="JEM11" s="31"/>
      <c r="JEN11" s="31"/>
      <c r="JEO11" s="31"/>
      <c r="JEP11" s="31"/>
      <c r="JEQ11" s="31"/>
      <c r="JER11" s="31"/>
      <c r="JES11" s="31"/>
      <c r="JET11" s="31"/>
      <c r="JEU11" s="31"/>
      <c r="JEV11" s="31"/>
      <c r="JEW11" s="31"/>
      <c r="JEX11" s="31"/>
      <c r="JEY11" s="31"/>
      <c r="JEZ11" s="31"/>
      <c r="JFA11" s="31"/>
      <c r="JFB11" s="31"/>
      <c r="JFC11" s="31"/>
      <c r="JFD11" s="31"/>
      <c r="JFE11" s="31"/>
      <c r="JFF11" s="31"/>
      <c r="JFG11" s="31"/>
      <c r="JFH11" s="31"/>
      <c r="JFI11" s="31"/>
      <c r="JFJ11" s="31"/>
      <c r="JFK11" s="31"/>
      <c r="JFL11" s="31"/>
      <c r="JFM11" s="31"/>
      <c r="JFN11" s="31"/>
      <c r="JFO11" s="31"/>
      <c r="JFP11" s="31"/>
      <c r="JFQ11" s="31"/>
      <c r="JFR11" s="31"/>
      <c r="JFS11" s="31"/>
      <c r="JFT11" s="31"/>
      <c r="JFU11" s="31"/>
      <c r="JFV11" s="31"/>
      <c r="JFW11" s="31"/>
      <c r="JFX11" s="31"/>
      <c r="JFY11" s="31"/>
      <c r="JFZ11" s="31"/>
      <c r="JGA11" s="31"/>
      <c r="JGB11" s="31"/>
      <c r="JGC11" s="31"/>
      <c r="JGD11" s="31"/>
      <c r="JGE11" s="31"/>
      <c r="JGF11" s="31"/>
      <c r="JGG11" s="31"/>
      <c r="JGH11" s="31"/>
      <c r="JGI11" s="31"/>
      <c r="JGJ11" s="31"/>
      <c r="JGK11" s="31"/>
      <c r="JGL11" s="31"/>
      <c r="JGM11" s="31"/>
      <c r="JGN11" s="31"/>
      <c r="JGO11" s="31"/>
      <c r="JGP11" s="31"/>
      <c r="JGQ11" s="31"/>
      <c r="JGR11" s="31"/>
      <c r="JGS11" s="31"/>
      <c r="JGT11" s="31"/>
      <c r="JGU11" s="31"/>
      <c r="JGV11" s="31"/>
      <c r="JGW11" s="31"/>
      <c r="JGX11" s="31"/>
      <c r="JGY11" s="31"/>
      <c r="JGZ11" s="31"/>
      <c r="JHA11" s="31"/>
      <c r="JHB11" s="31"/>
      <c r="JHC11" s="31"/>
      <c r="JHD11" s="31"/>
      <c r="JHE11" s="31"/>
      <c r="JHF11" s="31"/>
      <c r="JHG11" s="31"/>
      <c r="JHH11" s="31"/>
      <c r="JHI11" s="31"/>
      <c r="JHJ11" s="31"/>
      <c r="JHK11" s="31"/>
      <c r="JHL11" s="31"/>
      <c r="JHM11" s="31"/>
      <c r="JHN11" s="31"/>
      <c r="JHO11" s="31"/>
      <c r="JHP11" s="31"/>
      <c r="JHQ11" s="31"/>
      <c r="JHR11" s="31"/>
      <c r="JHS11" s="31"/>
      <c r="JHT11" s="31"/>
      <c r="JHU11" s="31"/>
      <c r="JHV11" s="31"/>
      <c r="JHW11" s="31"/>
      <c r="JHX11" s="31"/>
      <c r="JHY11" s="31"/>
      <c r="JHZ11" s="31"/>
      <c r="JIA11" s="31"/>
      <c r="JIB11" s="31"/>
      <c r="JIC11" s="31"/>
      <c r="JID11" s="31"/>
      <c r="JIE11" s="31"/>
      <c r="JIF11" s="31"/>
      <c r="JIG11" s="31"/>
      <c r="JIH11" s="31"/>
      <c r="JII11" s="31"/>
      <c r="JIJ11" s="31"/>
      <c r="JIK11" s="31"/>
      <c r="JIL11" s="31"/>
      <c r="JIM11" s="31"/>
      <c r="JIN11" s="31"/>
      <c r="JIO11" s="31"/>
      <c r="JIP11" s="31"/>
      <c r="JIQ11" s="31"/>
      <c r="JIR11" s="31"/>
      <c r="JIS11" s="31"/>
      <c r="JIT11" s="31"/>
      <c r="JIU11" s="31"/>
      <c r="JIV11" s="31"/>
      <c r="JIW11" s="31"/>
      <c r="JIX11" s="31"/>
      <c r="JIY11" s="31"/>
      <c r="JIZ11" s="31"/>
      <c r="JJA11" s="31"/>
      <c r="JJB11" s="31"/>
      <c r="JJC11" s="31"/>
      <c r="JJD11" s="31"/>
      <c r="JJE11" s="31"/>
      <c r="JJF11" s="31"/>
      <c r="JJG11" s="31"/>
      <c r="JJH11" s="31"/>
      <c r="JJI11" s="31"/>
      <c r="JJJ11" s="31"/>
      <c r="JJK11" s="31"/>
      <c r="JJL11" s="31"/>
      <c r="JJM11" s="31"/>
      <c r="JJN11" s="31"/>
      <c r="JJO11" s="31"/>
      <c r="JJP11" s="31"/>
      <c r="JJQ11" s="31"/>
      <c r="JJR11" s="31"/>
      <c r="JJS11" s="31"/>
      <c r="JJT11" s="31"/>
      <c r="JJU11" s="31"/>
      <c r="JJV11" s="31"/>
      <c r="JJW11" s="31"/>
      <c r="JJX11" s="31"/>
      <c r="JJY11" s="31"/>
      <c r="JJZ11" s="31"/>
      <c r="JKA11" s="31"/>
      <c r="JKB11" s="31"/>
      <c r="JKC11" s="31"/>
      <c r="JKD11" s="31"/>
      <c r="JKE11" s="31"/>
      <c r="JKF11" s="31"/>
      <c r="JKG11" s="31"/>
      <c r="JKH11" s="31"/>
      <c r="JKI11" s="31"/>
      <c r="JKJ11" s="31"/>
      <c r="JKK11" s="31"/>
      <c r="JKL11" s="31"/>
      <c r="JKM11" s="31"/>
      <c r="JKN11" s="31"/>
      <c r="JKO11" s="31"/>
      <c r="JKP11" s="31"/>
      <c r="JKQ11" s="31"/>
      <c r="JKR11" s="31"/>
      <c r="JKS11" s="31"/>
      <c r="JKT11" s="31"/>
      <c r="JKU11" s="31"/>
      <c r="JKV11" s="31"/>
      <c r="JKW11" s="31"/>
      <c r="JKX11" s="31"/>
      <c r="JKY11" s="31"/>
      <c r="JKZ11" s="31"/>
      <c r="JLA11" s="31"/>
      <c r="JLB11" s="31"/>
      <c r="JLC11" s="31"/>
      <c r="JLD11" s="31"/>
      <c r="JLE11" s="31"/>
      <c r="JLF11" s="31"/>
      <c r="JLG11" s="31"/>
      <c r="JLH11" s="31"/>
      <c r="JLI11" s="31"/>
      <c r="JLJ11" s="31"/>
      <c r="JLK11" s="31"/>
      <c r="JLL11" s="31"/>
      <c r="JLM11" s="31"/>
      <c r="JLN11" s="31"/>
      <c r="JLO11" s="31"/>
      <c r="JLP11" s="31"/>
      <c r="JLQ11" s="31"/>
      <c r="JLR11" s="31"/>
      <c r="JLS11" s="31"/>
      <c r="JLT11" s="31"/>
      <c r="JLU11" s="31"/>
      <c r="JLV11" s="31"/>
      <c r="JLW11" s="31"/>
      <c r="JLX11" s="31"/>
      <c r="JLY11" s="31"/>
      <c r="JLZ11" s="31"/>
      <c r="JMA11" s="31"/>
      <c r="JMB11" s="31"/>
      <c r="JMC11" s="31"/>
      <c r="JMD11" s="31"/>
      <c r="JME11" s="31"/>
      <c r="JMF11" s="31"/>
      <c r="JMG11" s="31"/>
      <c r="JMH11" s="31"/>
      <c r="JMI11" s="31"/>
      <c r="JMJ11" s="31"/>
      <c r="JMK11" s="31"/>
      <c r="JML11" s="31"/>
      <c r="JMM11" s="31"/>
      <c r="JMN11" s="31"/>
      <c r="JMO11" s="31"/>
      <c r="JMP11" s="31"/>
      <c r="JMQ11" s="31"/>
      <c r="JMR11" s="31"/>
      <c r="JMS11" s="31"/>
      <c r="JMT11" s="31"/>
      <c r="JMU11" s="31"/>
      <c r="JMV11" s="31"/>
      <c r="JMW11" s="31"/>
      <c r="JMX11" s="31"/>
      <c r="JMY11" s="31"/>
      <c r="JMZ11" s="31"/>
      <c r="JNA11" s="31"/>
      <c r="JNB11" s="31"/>
      <c r="JNC11" s="31"/>
      <c r="JND11" s="31"/>
      <c r="JNE11" s="31"/>
      <c r="JNF11" s="31"/>
      <c r="JNG11" s="31"/>
      <c r="JNH11" s="31"/>
      <c r="JNI11" s="31"/>
      <c r="JNJ11" s="31"/>
      <c r="JNK11" s="31"/>
      <c r="JNL11" s="31"/>
      <c r="JNM11" s="31"/>
      <c r="JNN11" s="31"/>
      <c r="JNO11" s="31"/>
      <c r="JNP11" s="31"/>
      <c r="JNQ11" s="31"/>
      <c r="JNR11" s="31"/>
      <c r="JNS11" s="31"/>
      <c r="JNT11" s="31"/>
      <c r="JNU11" s="31"/>
      <c r="JNV11" s="31"/>
      <c r="JNW11" s="31"/>
      <c r="JNX11" s="31"/>
      <c r="JNY11" s="31"/>
      <c r="JNZ11" s="31"/>
      <c r="JOA11" s="31"/>
      <c r="JOB11" s="31"/>
      <c r="JOC11" s="31"/>
      <c r="JOD11" s="31"/>
      <c r="JOE11" s="31"/>
      <c r="JOF11" s="31"/>
      <c r="JOG11" s="31"/>
      <c r="JOH11" s="31"/>
      <c r="JOI11" s="31"/>
      <c r="JOJ11" s="31"/>
      <c r="JOK11" s="31"/>
      <c r="JOL11" s="31"/>
      <c r="JOM11" s="31"/>
      <c r="JON11" s="31"/>
      <c r="JOO11" s="31"/>
      <c r="JOP11" s="31"/>
      <c r="JOQ11" s="31"/>
      <c r="JOR11" s="31"/>
      <c r="JOS11" s="31"/>
      <c r="JOT11" s="31"/>
      <c r="JOU11" s="31"/>
      <c r="JOV11" s="31"/>
      <c r="JOW11" s="31"/>
      <c r="JOX11" s="31"/>
      <c r="JOY11" s="31"/>
      <c r="JOZ11" s="31"/>
      <c r="JPA11" s="31"/>
      <c r="JPB11" s="31"/>
      <c r="JPC11" s="31"/>
      <c r="JPD11" s="31"/>
      <c r="JPE11" s="31"/>
      <c r="JPF11" s="31"/>
      <c r="JPG11" s="31"/>
      <c r="JPH11" s="31"/>
      <c r="JPI11" s="31"/>
      <c r="JPJ11" s="31"/>
      <c r="JPK11" s="31"/>
      <c r="JPL11" s="31"/>
      <c r="JPM11" s="31"/>
      <c r="JPN11" s="31"/>
      <c r="JPO11" s="31"/>
      <c r="JPP11" s="31"/>
      <c r="JPQ11" s="31"/>
      <c r="JPR11" s="31"/>
      <c r="JPS11" s="31"/>
      <c r="JPT11" s="31"/>
      <c r="JPU11" s="31"/>
      <c r="JPV11" s="31"/>
      <c r="JPW11" s="31"/>
      <c r="JPX11" s="31"/>
      <c r="JPY11" s="31"/>
      <c r="JPZ11" s="31"/>
      <c r="JQA11" s="31"/>
      <c r="JQB11" s="31"/>
      <c r="JQC11" s="31"/>
      <c r="JQD11" s="31"/>
      <c r="JQE11" s="31"/>
      <c r="JQF11" s="31"/>
      <c r="JQG11" s="31"/>
      <c r="JQH11" s="31"/>
      <c r="JQI11" s="31"/>
      <c r="JQJ11" s="31"/>
      <c r="JQK11" s="31"/>
      <c r="JQL11" s="31"/>
      <c r="JQM11" s="31"/>
      <c r="JQN11" s="31"/>
      <c r="JQO11" s="31"/>
      <c r="JQP11" s="31"/>
      <c r="JQQ11" s="31"/>
      <c r="JQR11" s="31"/>
      <c r="JQS11" s="31"/>
      <c r="JQT11" s="31"/>
      <c r="JQU11" s="31"/>
      <c r="JQV11" s="31"/>
      <c r="JQW11" s="31"/>
      <c r="JQX11" s="31"/>
      <c r="JQY11" s="31"/>
      <c r="JQZ11" s="31"/>
      <c r="JRA11" s="31"/>
      <c r="JRB11" s="31"/>
      <c r="JRC11" s="31"/>
      <c r="JRD11" s="31"/>
      <c r="JRE11" s="31"/>
      <c r="JRF11" s="31"/>
      <c r="JRG11" s="31"/>
      <c r="JRH11" s="31"/>
      <c r="JRI11" s="31"/>
      <c r="JRJ11" s="31"/>
      <c r="JRK11" s="31"/>
      <c r="JRL11" s="31"/>
      <c r="JRM11" s="31"/>
      <c r="JRN11" s="31"/>
      <c r="JRO11" s="31"/>
      <c r="JRP11" s="31"/>
      <c r="JRQ11" s="31"/>
      <c r="JRR11" s="31"/>
      <c r="JRS11" s="31"/>
      <c r="JRT11" s="31"/>
      <c r="JRU11" s="31"/>
      <c r="JRV11" s="31"/>
      <c r="JRW11" s="31"/>
      <c r="JRX11" s="31"/>
      <c r="JRY11" s="31"/>
      <c r="JRZ11" s="31"/>
      <c r="JSA11" s="31"/>
      <c r="JSB11" s="31"/>
      <c r="JSC11" s="31"/>
      <c r="JSD11" s="31"/>
      <c r="JSE11" s="31"/>
      <c r="JSF11" s="31"/>
      <c r="JSG11" s="31"/>
      <c r="JSH11" s="31"/>
      <c r="JSI11" s="31"/>
      <c r="JSJ11" s="31"/>
      <c r="JSK11" s="31"/>
      <c r="JSL11" s="31"/>
      <c r="JSM11" s="31"/>
      <c r="JSN11" s="31"/>
      <c r="JSO11" s="31"/>
      <c r="JSP11" s="31"/>
      <c r="JSQ11" s="31"/>
      <c r="JSR11" s="31"/>
      <c r="JSS11" s="31"/>
      <c r="JST11" s="31"/>
      <c r="JSU11" s="31"/>
      <c r="JSV11" s="31"/>
      <c r="JSW11" s="31"/>
      <c r="JSX11" s="31"/>
      <c r="JSY11" s="31"/>
      <c r="JSZ11" s="31"/>
      <c r="JTA11" s="31"/>
      <c r="JTB11" s="31"/>
      <c r="JTC11" s="31"/>
      <c r="JTD11" s="31"/>
      <c r="JTE11" s="31"/>
      <c r="JTF11" s="31"/>
      <c r="JTG11" s="31"/>
      <c r="JTH11" s="31"/>
      <c r="JTI11" s="31"/>
      <c r="JTJ11" s="31"/>
      <c r="JTK11" s="31"/>
      <c r="JTL11" s="31"/>
      <c r="JTM11" s="31"/>
      <c r="JTN11" s="31"/>
      <c r="JTO11" s="31"/>
      <c r="JTP11" s="31"/>
      <c r="JTQ11" s="31"/>
      <c r="JTR11" s="31"/>
      <c r="JTS11" s="31"/>
      <c r="JTT11" s="31"/>
      <c r="JTU11" s="31"/>
      <c r="JTV11" s="31"/>
      <c r="JTW11" s="31"/>
      <c r="JTX11" s="31"/>
      <c r="JTY11" s="31"/>
      <c r="JTZ11" s="31"/>
      <c r="JUA11" s="31"/>
      <c r="JUB11" s="31"/>
      <c r="JUC11" s="31"/>
      <c r="JUD11" s="31"/>
      <c r="JUE11" s="31"/>
      <c r="JUF11" s="31"/>
      <c r="JUG11" s="31"/>
      <c r="JUH11" s="31"/>
      <c r="JUI11" s="31"/>
      <c r="JUJ11" s="31"/>
      <c r="JUK11" s="31"/>
      <c r="JUL11" s="31"/>
      <c r="JUM11" s="31"/>
      <c r="JUN11" s="31"/>
      <c r="JUO11" s="31"/>
      <c r="JUP11" s="31"/>
      <c r="JUQ11" s="31"/>
      <c r="JUR11" s="31"/>
      <c r="JUS11" s="31"/>
      <c r="JUT11" s="31"/>
      <c r="JUU11" s="31"/>
      <c r="JUV11" s="31"/>
      <c r="JUW11" s="31"/>
      <c r="JUX11" s="31"/>
      <c r="JUY11" s="31"/>
      <c r="JUZ11" s="31"/>
      <c r="JVA11" s="31"/>
      <c r="JVB11" s="31"/>
      <c r="JVC11" s="31"/>
      <c r="JVD11" s="31"/>
      <c r="JVE11" s="31"/>
      <c r="JVF11" s="31"/>
      <c r="JVG11" s="31"/>
      <c r="JVH11" s="31"/>
      <c r="JVI11" s="31"/>
      <c r="JVJ11" s="31"/>
      <c r="JVK11" s="31"/>
      <c r="JVL11" s="31"/>
      <c r="JVM11" s="31"/>
      <c r="JVN11" s="31"/>
      <c r="JVO11" s="31"/>
      <c r="JVP11" s="31"/>
      <c r="JVQ11" s="31"/>
      <c r="JVR11" s="31"/>
      <c r="JVS11" s="31"/>
      <c r="JVT11" s="31"/>
      <c r="JVU11" s="31"/>
      <c r="JVV11" s="31"/>
      <c r="JVW11" s="31"/>
      <c r="JVX11" s="31"/>
      <c r="JVY11" s="31"/>
      <c r="JVZ11" s="31"/>
      <c r="JWA11" s="31"/>
      <c r="JWB11" s="31"/>
      <c r="JWC11" s="31"/>
      <c r="JWD11" s="31"/>
      <c r="JWE11" s="31"/>
      <c r="JWF11" s="31"/>
      <c r="JWG11" s="31"/>
      <c r="JWH11" s="31"/>
      <c r="JWI11" s="31"/>
      <c r="JWJ11" s="31"/>
      <c r="JWK11" s="31"/>
      <c r="JWL11" s="31"/>
      <c r="JWM11" s="31"/>
      <c r="JWN11" s="31"/>
      <c r="JWO11" s="31"/>
      <c r="JWP11" s="31"/>
      <c r="JWQ11" s="31"/>
      <c r="JWR11" s="31"/>
      <c r="JWS11" s="31"/>
      <c r="JWT11" s="31"/>
      <c r="JWU11" s="31"/>
      <c r="JWV11" s="31"/>
      <c r="JWW11" s="31"/>
      <c r="JWX11" s="31"/>
      <c r="JWY11" s="31"/>
      <c r="JWZ11" s="31"/>
      <c r="JXA11" s="31"/>
      <c r="JXB11" s="31"/>
      <c r="JXC11" s="31"/>
      <c r="JXD11" s="31"/>
      <c r="JXE11" s="31"/>
      <c r="JXF11" s="31"/>
      <c r="JXG11" s="31"/>
      <c r="JXH11" s="31"/>
      <c r="JXI11" s="31"/>
      <c r="JXJ11" s="31"/>
      <c r="JXK11" s="31"/>
      <c r="JXL11" s="31"/>
      <c r="JXM11" s="31"/>
      <c r="JXN11" s="31"/>
      <c r="JXO11" s="31"/>
      <c r="JXP11" s="31"/>
      <c r="JXQ11" s="31"/>
      <c r="JXR11" s="31"/>
      <c r="JXS11" s="31"/>
      <c r="JXT11" s="31"/>
      <c r="JXU11" s="31"/>
      <c r="JXV11" s="31"/>
      <c r="JXW11" s="31"/>
      <c r="JXX11" s="31"/>
      <c r="JXY11" s="31"/>
      <c r="JXZ11" s="31"/>
      <c r="JYA11" s="31"/>
      <c r="JYB11" s="31"/>
      <c r="JYC11" s="31"/>
      <c r="JYD11" s="31"/>
      <c r="JYE11" s="31"/>
      <c r="JYF11" s="31"/>
      <c r="JYG11" s="31"/>
      <c r="JYH11" s="31"/>
      <c r="JYI11" s="31"/>
      <c r="JYJ11" s="31"/>
      <c r="JYK11" s="31"/>
      <c r="JYL11" s="31"/>
      <c r="JYM11" s="31"/>
      <c r="JYN11" s="31"/>
      <c r="JYO11" s="31"/>
      <c r="JYP11" s="31"/>
      <c r="JYQ11" s="31"/>
      <c r="JYR11" s="31"/>
      <c r="JYS11" s="31"/>
      <c r="JYT11" s="31"/>
      <c r="JYU11" s="31"/>
      <c r="JYV11" s="31"/>
      <c r="JYW11" s="31"/>
      <c r="JYX11" s="31"/>
      <c r="JYY11" s="31"/>
      <c r="JYZ11" s="31"/>
      <c r="JZA11" s="31"/>
      <c r="JZB11" s="31"/>
      <c r="JZC11" s="31"/>
      <c r="JZD11" s="31"/>
      <c r="JZE11" s="31"/>
      <c r="JZF11" s="31"/>
      <c r="JZG11" s="31"/>
      <c r="JZH11" s="31"/>
      <c r="JZI11" s="31"/>
      <c r="JZJ11" s="31"/>
      <c r="JZK11" s="31"/>
      <c r="JZL11" s="31"/>
      <c r="JZM11" s="31"/>
      <c r="JZN11" s="31"/>
      <c r="JZO11" s="31"/>
      <c r="JZP11" s="31"/>
      <c r="JZQ11" s="31"/>
      <c r="JZR11" s="31"/>
      <c r="JZS11" s="31"/>
      <c r="JZT11" s="31"/>
      <c r="JZU11" s="31"/>
      <c r="JZV11" s="31"/>
      <c r="JZW11" s="31"/>
      <c r="JZX11" s="31"/>
      <c r="JZY11" s="31"/>
      <c r="JZZ11" s="31"/>
      <c r="KAA11" s="31"/>
      <c r="KAB11" s="31"/>
      <c r="KAC11" s="31"/>
      <c r="KAD11" s="31"/>
      <c r="KAE11" s="31"/>
      <c r="KAF11" s="31"/>
      <c r="KAG11" s="31"/>
      <c r="KAH11" s="31"/>
      <c r="KAI11" s="31"/>
      <c r="KAJ11" s="31"/>
      <c r="KAK11" s="31"/>
      <c r="KAL11" s="31"/>
      <c r="KAM11" s="31"/>
      <c r="KAN11" s="31"/>
      <c r="KAO11" s="31"/>
      <c r="KAP11" s="31"/>
      <c r="KAQ11" s="31"/>
      <c r="KAR11" s="31"/>
      <c r="KAS11" s="31"/>
      <c r="KAT11" s="31"/>
      <c r="KAU11" s="31"/>
      <c r="KAV11" s="31"/>
      <c r="KAW11" s="31"/>
      <c r="KAX11" s="31"/>
      <c r="KAY11" s="31"/>
      <c r="KAZ11" s="31"/>
      <c r="KBA11" s="31"/>
      <c r="KBB11" s="31"/>
      <c r="KBC11" s="31"/>
      <c r="KBD11" s="31"/>
      <c r="KBE11" s="31"/>
      <c r="KBF11" s="31"/>
      <c r="KBG11" s="31"/>
      <c r="KBH11" s="31"/>
      <c r="KBI11" s="31"/>
      <c r="KBJ11" s="31"/>
      <c r="KBK11" s="31"/>
      <c r="KBL11" s="31"/>
      <c r="KBM11" s="31"/>
      <c r="KBN11" s="31"/>
      <c r="KBO11" s="31"/>
      <c r="KBP11" s="31"/>
      <c r="KBQ11" s="31"/>
      <c r="KBR11" s="31"/>
      <c r="KBS11" s="31"/>
      <c r="KBT11" s="31"/>
      <c r="KBU11" s="31"/>
      <c r="KBV11" s="31"/>
      <c r="KBW11" s="31"/>
      <c r="KBX11" s="31"/>
      <c r="KBY11" s="31"/>
      <c r="KBZ11" s="31"/>
      <c r="KCA11" s="31"/>
      <c r="KCB11" s="31"/>
      <c r="KCC11" s="31"/>
      <c r="KCD11" s="31"/>
      <c r="KCE11" s="31"/>
      <c r="KCF11" s="31"/>
      <c r="KCG11" s="31"/>
      <c r="KCH11" s="31"/>
      <c r="KCI11" s="31"/>
      <c r="KCJ11" s="31"/>
      <c r="KCK11" s="31"/>
      <c r="KCL11" s="31"/>
      <c r="KCM11" s="31"/>
      <c r="KCN11" s="31"/>
      <c r="KCO11" s="31"/>
      <c r="KCP11" s="31"/>
      <c r="KCQ11" s="31"/>
      <c r="KCR11" s="31"/>
      <c r="KCS11" s="31"/>
      <c r="KCT11" s="31"/>
      <c r="KCU11" s="31"/>
      <c r="KCV11" s="31"/>
      <c r="KCW11" s="31"/>
      <c r="KCX11" s="31"/>
      <c r="KCY11" s="31"/>
      <c r="KCZ11" s="31"/>
      <c r="KDA11" s="31"/>
      <c r="KDB11" s="31"/>
      <c r="KDC11" s="31"/>
      <c r="KDD11" s="31"/>
      <c r="KDE11" s="31"/>
      <c r="KDF11" s="31"/>
      <c r="KDG11" s="31"/>
      <c r="KDH11" s="31"/>
      <c r="KDI11" s="31"/>
      <c r="KDJ11" s="31"/>
      <c r="KDK11" s="31"/>
      <c r="KDL11" s="31"/>
      <c r="KDM11" s="31"/>
      <c r="KDN11" s="31"/>
      <c r="KDO11" s="31"/>
      <c r="KDP11" s="31"/>
      <c r="KDQ11" s="31"/>
      <c r="KDR11" s="31"/>
      <c r="KDS11" s="31"/>
      <c r="KDT11" s="31"/>
      <c r="KDU11" s="31"/>
      <c r="KDV11" s="31"/>
      <c r="KDW11" s="31"/>
      <c r="KDX11" s="31"/>
      <c r="KDY11" s="31"/>
      <c r="KDZ11" s="31"/>
      <c r="KEA11" s="31"/>
      <c r="KEB11" s="31"/>
      <c r="KEC11" s="31"/>
      <c r="KED11" s="31"/>
      <c r="KEE11" s="31"/>
      <c r="KEF11" s="31"/>
      <c r="KEG11" s="31"/>
      <c r="KEH11" s="31"/>
      <c r="KEI11" s="31"/>
      <c r="KEJ11" s="31"/>
      <c r="KEK11" s="31"/>
      <c r="KEL11" s="31"/>
      <c r="KEM11" s="31"/>
      <c r="KEN11" s="31"/>
      <c r="KEO11" s="31"/>
      <c r="KEP11" s="31"/>
      <c r="KEQ11" s="31"/>
      <c r="KER11" s="31"/>
      <c r="KES11" s="31"/>
      <c r="KET11" s="31"/>
      <c r="KEU11" s="31"/>
      <c r="KEV11" s="31"/>
      <c r="KEW11" s="31"/>
      <c r="KEX11" s="31"/>
      <c r="KEY11" s="31"/>
      <c r="KEZ11" s="31"/>
      <c r="KFA11" s="31"/>
      <c r="KFB11" s="31"/>
      <c r="KFC11" s="31"/>
      <c r="KFD11" s="31"/>
      <c r="KFE11" s="31"/>
      <c r="KFF11" s="31"/>
      <c r="KFG11" s="31"/>
      <c r="KFH11" s="31"/>
      <c r="KFI11" s="31"/>
      <c r="KFJ11" s="31"/>
      <c r="KFK11" s="31"/>
      <c r="KFL11" s="31"/>
      <c r="KFM11" s="31"/>
      <c r="KFN11" s="31"/>
      <c r="KFO11" s="31"/>
      <c r="KFP11" s="31"/>
      <c r="KFQ11" s="31"/>
      <c r="KFR11" s="31"/>
      <c r="KFS11" s="31"/>
      <c r="KFT11" s="31"/>
      <c r="KFU11" s="31"/>
      <c r="KFV11" s="31"/>
      <c r="KFW11" s="31"/>
      <c r="KFX11" s="31"/>
      <c r="KFY11" s="31"/>
      <c r="KFZ11" s="31"/>
      <c r="KGA11" s="31"/>
      <c r="KGB11" s="31"/>
      <c r="KGC11" s="31"/>
      <c r="KGD11" s="31"/>
      <c r="KGE11" s="31"/>
      <c r="KGF11" s="31"/>
      <c r="KGG11" s="31"/>
      <c r="KGH11" s="31"/>
      <c r="KGI11" s="31"/>
      <c r="KGJ11" s="31"/>
      <c r="KGK11" s="31"/>
      <c r="KGL11" s="31"/>
      <c r="KGM11" s="31"/>
      <c r="KGN11" s="31"/>
      <c r="KGO11" s="31"/>
      <c r="KGP11" s="31"/>
      <c r="KGQ11" s="31"/>
      <c r="KGR11" s="31"/>
      <c r="KGS11" s="31"/>
      <c r="KGT11" s="31"/>
      <c r="KGU11" s="31"/>
      <c r="KGV11" s="31"/>
      <c r="KGW11" s="31"/>
      <c r="KGX11" s="31"/>
      <c r="KGY11" s="31"/>
      <c r="KGZ11" s="31"/>
      <c r="KHA11" s="31"/>
      <c r="KHB11" s="31"/>
      <c r="KHC11" s="31"/>
      <c r="KHD11" s="31"/>
      <c r="KHE11" s="31"/>
      <c r="KHF11" s="31"/>
      <c r="KHG11" s="31"/>
      <c r="KHH11" s="31"/>
      <c r="KHI11" s="31"/>
      <c r="KHJ11" s="31"/>
      <c r="KHK11" s="31"/>
      <c r="KHL11" s="31"/>
      <c r="KHM11" s="31"/>
      <c r="KHN11" s="31"/>
      <c r="KHO11" s="31"/>
      <c r="KHP11" s="31"/>
      <c r="KHQ11" s="31"/>
      <c r="KHR11" s="31"/>
      <c r="KHS11" s="31"/>
      <c r="KHT11" s="31"/>
      <c r="KHU11" s="31"/>
      <c r="KHV11" s="31"/>
      <c r="KHW11" s="31"/>
      <c r="KHX11" s="31"/>
      <c r="KHY11" s="31"/>
      <c r="KHZ11" s="31"/>
      <c r="KIA11" s="31"/>
      <c r="KIB11" s="31"/>
      <c r="KIC11" s="31"/>
      <c r="KID11" s="31"/>
      <c r="KIE11" s="31"/>
      <c r="KIF11" s="31"/>
      <c r="KIG11" s="31"/>
      <c r="KIH11" s="31"/>
      <c r="KII11" s="31"/>
      <c r="KIJ11" s="31"/>
      <c r="KIK11" s="31"/>
      <c r="KIL11" s="31"/>
      <c r="KIM11" s="31"/>
      <c r="KIN11" s="31"/>
      <c r="KIO11" s="31"/>
      <c r="KIP11" s="31"/>
      <c r="KIQ11" s="31"/>
      <c r="KIR11" s="31"/>
      <c r="KIS11" s="31"/>
      <c r="KIT11" s="31"/>
      <c r="KIU11" s="31"/>
      <c r="KIV11" s="31"/>
      <c r="KIW11" s="31"/>
      <c r="KIX11" s="31"/>
      <c r="KIY11" s="31"/>
      <c r="KIZ11" s="31"/>
      <c r="KJA11" s="31"/>
      <c r="KJB11" s="31"/>
      <c r="KJC11" s="31"/>
      <c r="KJD11" s="31"/>
      <c r="KJE11" s="31"/>
      <c r="KJF11" s="31"/>
      <c r="KJG11" s="31"/>
      <c r="KJH11" s="31"/>
      <c r="KJI11" s="31"/>
      <c r="KJJ11" s="31"/>
      <c r="KJK11" s="31"/>
      <c r="KJL11" s="31"/>
      <c r="KJM11" s="31"/>
      <c r="KJN11" s="31"/>
      <c r="KJO11" s="31"/>
      <c r="KJP11" s="31"/>
      <c r="KJQ11" s="31"/>
      <c r="KJR11" s="31"/>
      <c r="KJS11" s="31"/>
      <c r="KJT11" s="31"/>
      <c r="KJU11" s="31"/>
      <c r="KJV11" s="31"/>
      <c r="KJW11" s="31"/>
      <c r="KJX11" s="31"/>
      <c r="KJY11" s="31"/>
      <c r="KJZ11" s="31"/>
      <c r="KKA11" s="31"/>
      <c r="KKB11" s="31"/>
      <c r="KKC11" s="31"/>
      <c r="KKD11" s="31"/>
      <c r="KKE11" s="31"/>
      <c r="KKF11" s="31"/>
      <c r="KKG11" s="31"/>
      <c r="KKH11" s="31"/>
      <c r="KKI11" s="31"/>
      <c r="KKJ11" s="31"/>
      <c r="KKK11" s="31"/>
      <c r="KKL11" s="31"/>
      <c r="KKM11" s="31"/>
      <c r="KKN11" s="31"/>
      <c r="KKO11" s="31"/>
      <c r="KKP11" s="31"/>
      <c r="KKQ11" s="31"/>
      <c r="KKR11" s="31"/>
      <c r="KKS11" s="31"/>
      <c r="KKT11" s="31"/>
      <c r="KKU11" s="31"/>
      <c r="KKV11" s="31"/>
      <c r="KKW11" s="31"/>
      <c r="KKX11" s="31"/>
      <c r="KKY11" s="31"/>
      <c r="KKZ11" s="31"/>
      <c r="KLA11" s="31"/>
      <c r="KLB11" s="31"/>
      <c r="KLC11" s="31"/>
      <c r="KLD11" s="31"/>
      <c r="KLE11" s="31"/>
      <c r="KLF11" s="31"/>
      <c r="KLG11" s="31"/>
      <c r="KLH11" s="31"/>
      <c r="KLI11" s="31"/>
      <c r="KLJ11" s="31"/>
      <c r="KLK11" s="31"/>
      <c r="KLL11" s="31"/>
      <c r="KLM11" s="31"/>
      <c r="KLN11" s="31"/>
      <c r="KLO11" s="31"/>
      <c r="KLP11" s="31"/>
      <c r="KLQ11" s="31"/>
      <c r="KLR11" s="31"/>
      <c r="KLS11" s="31"/>
      <c r="KLT11" s="31"/>
      <c r="KLU11" s="31"/>
      <c r="KLV11" s="31"/>
      <c r="KLW11" s="31"/>
      <c r="KLX11" s="31"/>
      <c r="KLY11" s="31"/>
      <c r="KLZ11" s="31"/>
      <c r="KMA11" s="31"/>
      <c r="KMB11" s="31"/>
      <c r="KMC11" s="31"/>
      <c r="KMD11" s="31"/>
      <c r="KME11" s="31"/>
      <c r="KMF11" s="31"/>
      <c r="KMG11" s="31"/>
      <c r="KMH11" s="31"/>
      <c r="KMI11" s="31"/>
      <c r="KMJ11" s="31"/>
      <c r="KMK11" s="31"/>
      <c r="KML11" s="31"/>
      <c r="KMM11" s="31"/>
      <c r="KMN11" s="31"/>
      <c r="KMO11" s="31"/>
      <c r="KMP11" s="31"/>
      <c r="KMQ11" s="31"/>
      <c r="KMR11" s="31"/>
      <c r="KMS11" s="31"/>
      <c r="KMT11" s="31"/>
      <c r="KMU11" s="31"/>
      <c r="KMV11" s="31"/>
      <c r="KMW11" s="31"/>
      <c r="KMX11" s="31"/>
      <c r="KMY11" s="31"/>
      <c r="KMZ11" s="31"/>
      <c r="KNA11" s="31"/>
      <c r="KNB11" s="31"/>
      <c r="KNC11" s="31"/>
      <c r="KND11" s="31"/>
      <c r="KNE11" s="31"/>
      <c r="KNF11" s="31"/>
      <c r="KNG11" s="31"/>
      <c r="KNH11" s="31"/>
      <c r="KNI11" s="31"/>
      <c r="KNJ11" s="31"/>
      <c r="KNK11" s="31"/>
      <c r="KNL11" s="31"/>
      <c r="KNM11" s="31"/>
      <c r="KNN11" s="31"/>
      <c r="KNO11" s="31"/>
      <c r="KNP11" s="31"/>
      <c r="KNQ11" s="31"/>
      <c r="KNR11" s="31"/>
      <c r="KNS11" s="31"/>
      <c r="KNT11" s="31"/>
      <c r="KNU11" s="31"/>
      <c r="KNV11" s="31"/>
      <c r="KNW11" s="31"/>
      <c r="KNX11" s="31"/>
      <c r="KNY11" s="31"/>
      <c r="KNZ11" s="31"/>
      <c r="KOA11" s="31"/>
      <c r="KOB11" s="31"/>
      <c r="KOC11" s="31"/>
      <c r="KOD11" s="31"/>
      <c r="KOE11" s="31"/>
      <c r="KOF11" s="31"/>
      <c r="KOG11" s="31"/>
      <c r="KOH11" s="31"/>
      <c r="KOI11" s="31"/>
      <c r="KOJ11" s="31"/>
      <c r="KOK11" s="31"/>
      <c r="KOL11" s="31"/>
      <c r="KOM11" s="31"/>
      <c r="KON11" s="31"/>
      <c r="KOO11" s="31"/>
      <c r="KOP11" s="31"/>
      <c r="KOQ11" s="31"/>
      <c r="KOR11" s="31"/>
      <c r="KOS11" s="31"/>
      <c r="KOT11" s="31"/>
      <c r="KOU11" s="31"/>
      <c r="KOV11" s="31"/>
      <c r="KOW11" s="31"/>
      <c r="KOX11" s="31"/>
      <c r="KOY11" s="31"/>
      <c r="KOZ11" s="31"/>
      <c r="KPA11" s="31"/>
      <c r="KPB11" s="31"/>
      <c r="KPC11" s="31"/>
      <c r="KPD11" s="31"/>
      <c r="KPE11" s="31"/>
      <c r="KPF11" s="31"/>
      <c r="KPG11" s="31"/>
      <c r="KPH11" s="31"/>
      <c r="KPI11" s="31"/>
      <c r="KPJ11" s="31"/>
      <c r="KPK11" s="31"/>
      <c r="KPL11" s="31"/>
      <c r="KPM11" s="31"/>
      <c r="KPN11" s="31"/>
      <c r="KPO11" s="31"/>
      <c r="KPP11" s="31"/>
      <c r="KPQ11" s="31"/>
      <c r="KPR11" s="31"/>
      <c r="KPS11" s="31"/>
      <c r="KPT11" s="31"/>
      <c r="KPU11" s="31"/>
      <c r="KPV11" s="31"/>
      <c r="KPW11" s="31"/>
      <c r="KPX11" s="31"/>
      <c r="KPY11" s="31"/>
      <c r="KPZ11" s="31"/>
      <c r="KQA11" s="31"/>
      <c r="KQB11" s="31"/>
      <c r="KQC11" s="31"/>
      <c r="KQD11" s="31"/>
      <c r="KQE11" s="31"/>
      <c r="KQF11" s="31"/>
      <c r="KQG11" s="31"/>
      <c r="KQH11" s="31"/>
      <c r="KQI11" s="31"/>
      <c r="KQJ11" s="31"/>
      <c r="KQK11" s="31"/>
      <c r="KQL11" s="31"/>
      <c r="KQM11" s="31"/>
      <c r="KQN11" s="31"/>
      <c r="KQO11" s="31"/>
      <c r="KQP11" s="31"/>
      <c r="KQQ11" s="31"/>
      <c r="KQR11" s="31"/>
      <c r="KQS11" s="31"/>
      <c r="KQT11" s="31"/>
      <c r="KQU11" s="31"/>
      <c r="KQV11" s="31"/>
      <c r="KQW11" s="31"/>
      <c r="KQX11" s="31"/>
      <c r="KQY11" s="31"/>
      <c r="KQZ11" s="31"/>
      <c r="KRA11" s="31"/>
      <c r="KRB11" s="31"/>
      <c r="KRC11" s="31"/>
      <c r="KRD11" s="31"/>
      <c r="KRE11" s="31"/>
      <c r="KRF11" s="31"/>
      <c r="KRG11" s="31"/>
      <c r="KRH11" s="31"/>
      <c r="KRI11" s="31"/>
      <c r="KRJ11" s="31"/>
      <c r="KRK11" s="31"/>
      <c r="KRL11" s="31"/>
      <c r="KRM11" s="31"/>
      <c r="KRN11" s="31"/>
      <c r="KRO11" s="31"/>
      <c r="KRP11" s="31"/>
      <c r="KRQ11" s="31"/>
      <c r="KRR11" s="31"/>
      <c r="KRS11" s="31"/>
      <c r="KRT11" s="31"/>
      <c r="KRU11" s="31"/>
      <c r="KRV11" s="31"/>
      <c r="KRW11" s="31"/>
      <c r="KRX11" s="31"/>
      <c r="KRY11" s="31"/>
      <c r="KRZ11" s="31"/>
      <c r="KSA11" s="31"/>
      <c r="KSB11" s="31"/>
      <c r="KSC11" s="31"/>
      <c r="KSD11" s="31"/>
      <c r="KSE11" s="31"/>
      <c r="KSF11" s="31"/>
      <c r="KSG11" s="31"/>
      <c r="KSH11" s="31"/>
      <c r="KSI11" s="31"/>
      <c r="KSJ11" s="31"/>
      <c r="KSK11" s="31"/>
      <c r="KSL11" s="31"/>
      <c r="KSM11" s="31"/>
      <c r="KSN11" s="31"/>
      <c r="KSO11" s="31"/>
      <c r="KSP11" s="31"/>
      <c r="KSQ11" s="31"/>
      <c r="KSR11" s="31"/>
      <c r="KSS11" s="31"/>
      <c r="KST11" s="31"/>
      <c r="KSU11" s="31"/>
      <c r="KSV11" s="31"/>
      <c r="KSW11" s="31"/>
      <c r="KSX11" s="31"/>
      <c r="KSY11" s="31"/>
      <c r="KSZ11" s="31"/>
      <c r="KTA11" s="31"/>
      <c r="KTB11" s="31"/>
      <c r="KTC11" s="31"/>
      <c r="KTD11" s="31"/>
      <c r="KTE11" s="31"/>
      <c r="KTF11" s="31"/>
      <c r="KTG11" s="31"/>
      <c r="KTH11" s="31"/>
      <c r="KTI11" s="31"/>
      <c r="KTJ11" s="31"/>
      <c r="KTK11" s="31"/>
      <c r="KTL11" s="31"/>
      <c r="KTM11" s="31"/>
      <c r="KTN11" s="31"/>
      <c r="KTO11" s="31"/>
      <c r="KTP11" s="31"/>
      <c r="KTQ11" s="31"/>
      <c r="KTR11" s="31"/>
      <c r="KTS11" s="31"/>
      <c r="KTT11" s="31"/>
      <c r="KTU11" s="31"/>
      <c r="KTV11" s="31"/>
      <c r="KTW11" s="31"/>
      <c r="KTX11" s="31"/>
      <c r="KTY11" s="31"/>
      <c r="KTZ11" s="31"/>
      <c r="KUA11" s="31"/>
      <c r="KUB11" s="31"/>
      <c r="KUC11" s="31"/>
      <c r="KUD11" s="31"/>
      <c r="KUE11" s="31"/>
      <c r="KUF11" s="31"/>
      <c r="KUG11" s="31"/>
      <c r="KUH11" s="31"/>
      <c r="KUI11" s="31"/>
      <c r="KUJ11" s="31"/>
      <c r="KUK11" s="31"/>
      <c r="KUL11" s="31"/>
      <c r="KUM11" s="31"/>
      <c r="KUN11" s="31"/>
      <c r="KUO11" s="31"/>
      <c r="KUP11" s="31"/>
      <c r="KUQ11" s="31"/>
      <c r="KUR11" s="31"/>
      <c r="KUS11" s="31"/>
      <c r="KUT11" s="31"/>
      <c r="KUU11" s="31"/>
      <c r="KUV11" s="31"/>
      <c r="KUW11" s="31"/>
      <c r="KUX11" s="31"/>
      <c r="KUY11" s="31"/>
      <c r="KUZ11" s="31"/>
      <c r="KVA11" s="31"/>
      <c r="KVB11" s="31"/>
      <c r="KVC11" s="31"/>
      <c r="KVD11" s="31"/>
      <c r="KVE11" s="31"/>
      <c r="KVF11" s="31"/>
      <c r="KVG11" s="31"/>
      <c r="KVH11" s="31"/>
      <c r="KVI11" s="31"/>
      <c r="KVJ11" s="31"/>
      <c r="KVK11" s="31"/>
      <c r="KVL11" s="31"/>
      <c r="KVM11" s="31"/>
      <c r="KVN11" s="31"/>
      <c r="KVO11" s="31"/>
      <c r="KVP11" s="31"/>
      <c r="KVQ11" s="31"/>
      <c r="KVR11" s="31"/>
      <c r="KVS11" s="31"/>
      <c r="KVT11" s="31"/>
      <c r="KVU11" s="31"/>
      <c r="KVV11" s="31"/>
      <c r="KVW11" s="31"/>
      <c r="KVX11" s="31"/>
      <c r="KVY11" s="31"/>
      <c r="KVZ11" s="31"/>
      <c r="KWA11" s="31"/>
      <c r="KWB11" s="31"/>
      <c r="KWC11" s="31"/>
      <c r="KWD11" s="31"/>
      <c r="KWE11" s="31"/>
      <c r="KWF11" s="31"/>
      <c r="KWG11" s="31"/>
      <c r="KWH11" s="31"/>
      <c r="KWI11" s="31"/>
      <c r="KWJ11" s="31"/>
      <c r="KWK11" s="31"/>
      <c r="KWL11" s="31"/>
      <c r="KWM11" s="31"/>
      <c r="KWN11" s="31"/>
      <c r="KWO11" s="31"/>
      <c r="KWP11" s="31"/>
      <c r="KWQ11" s="31"/>
      <c r="KWR11" s="31"/>
      <c r="KWS11" s="31"/>
      <c r="KWT11" s="31"/>
      <c r="KWU11" s="31"/>
      <c r="KWV11" s="31"/>
      <c r="KWW11" s="31"/>
      <c r="KWX11" s="31"/>
      <c r="KWY11" s="31"/>
      <c r="KWZ11" s="31"/>
      <c r="KXA11" s="31"/>
      <c r="KXB11" s="31"/>
      <c r="KXC11" s="31"/>
      <c r="KXD11" s="31"/>
      <c r="KXE11" s="31"/>
      <c r="KXF11" s="31"/>
      <c r="KXG11" s="31"/>
      <c r="KXH11" s="31"/>
      <c r="KXI11" s="31"/>
      <c r="KXJ11" s="31"/>
      <c r="KXK11" s="31"/>
      <c r="KXL11" s="31"/>
      <c r="KXM11" s="31"/>
      <c r="KXN11" s="31"/>
      <c r="KXO11" s="31"/>
      <c r="KXP11" s="31"/>
      <c r="KXQ11" s="31"/>
      <c r="KXR11" s="31"/>
      <c r="KXS11" s="31"/>
      <c r="KXT11" s="31"/>
      <c r="KXU11" s="31"/>
      <c r="KXV11" s="31"/>
      <c r="KXW11" s="31"/>
      <c r="KXX11" s="31"/>
      <c r="KXY11" s="31"/>
      <c r="KXZ11" s="31"/>
      <c r="KYA11" s="31"/>
      <c r="KYB11" s="31"/>
      <c r="KYC11" s="31"/>
      <c r="KYD11" s="31"/>
      <c r="KYE11" s="31"/>
      <c r="KYF11" s="31"/>
      <c r="KYG11" s="31"/>
      <c r="KYH11" s="31"/>
      <c r="KYI11" s="31"/>
      <c r="KYJ11" s="31"/>
      <c r="KYK11" s="31"/>
      <c r="KYL11" s="31"/>
      <c r="KYM11" s="31"/>
      <c r="KYN11" s="31"/>
      <c r="KYO11" s="31"/>
      <c r="KYP11" s="31"/>
      <c r="KYQ11" s="31"/>
      <c r="KYR11" s="31"/>
      <c r="KYS11" s="31"/>
      <c r="KYT11" s="31"/>
      <c r="KYU11" s="31"/>
      <c r="KYV11" s="31"/>
      <c r="KYW11" s="31"/>
      <c r="KYX11" s="31"/>
      <c r="KYY11" s="31"/>
      <c r="KYZ11" s="31"/>
      <c r="KZA11" s="31"/>
      <c r="KZB11" s="31"/>
      <c r="KZC11" s="31"/>
      <c r="KZD11" s="31"/>
      <c r="KZE11" s="31"/>
      <c r="KZF11" s="31"/>
      <c r="KZG11" s="31"/>
      <c r="KZH11" s="31"/>
      <c r="KZI11" s="31"/>
      <c r="KZJ11" s="31"/>
      <c r="KZK11" s="31"/>
      <c r="KZL11" s="31"/>
      <c r="KZM11" s="31"/>
      <c r="KZN11" s="31"/>
      <c r="KZO11" s="31"/>
      <c r="KZP11" s="31"/>
      <c r="KZQ11" s="31"/>
      <c r="KZR11" s="31"/>
      <c r="KZS11" s="31"/>
      <c r="KZT11" s="31"/>
      <c r="KZU11" s="31"/>
      <c r="KZV11" s="31"/>
      <c r="KZW11" s="31"/>
      <c r="KZX11" s="31"/>
      <c r="KZY11" s="31"/>
      <c r="KZZ11" s="31"/>
      <c r="LAA11" s="31"/>
      <c r="LAB11" s="31"/>
      <c r="LAC11" s="31"/>
      <c r="LAD11" s="31"/>
      <c r="LAE11" s="31"/>
      <c r="LAF11" s="31"/>
      <c r="LAG11" s="31"/>
      <c r="LAH11" s="31"/>
      <c r="LAI11" s="31"/>
      <c r="LAJ11" s="31"/>
      <c r="LAK11" s="31"/>
      <c r="LAL11" s="31"/>
      <c r="LAM11" s="31"/>
      <c r="LAN11" s="31"/>
      <c r="LAO11" s="31"/>
      <c r="LAP11" s="31"/>
      <c r="LAQ11" s="31"/>
      <c r="LAR11" s="31"/>
      <c r="LAS11" s="31"/>
      <c r="LAT11" s="31"/>
      <c r="LAU11" s="31"/>
      <c r="LAV11" s="31"/>
      <c r="LAW11" s="31"/>
      <c r="LAX11" s="31"/>
      <c r="LAY11" s="31"/>
      <c r="LAZ11" s="31"/>
      <c r="LBA11" s="31"/>
      <c r="LBB11" s="31"/>
      <c r="LBC11" s="31"/>
      <c r="LBD11" s="31"/>
      <c r="LBE11" s="31"/>
      <c r="LBF11" s="31"/>
      <c r="LBG11" s="31"/>
      <c r="LBH11" s="31"/>
      <c r="LBI11" s="31"/>
      <c r="LBJ11" s="31"/>
      <c r="LBK11" s="31"/>
      <c r="LBL11" s="31"/>
      <c r="LBM11" s="31"/>
      <c r="LBN11" s="31"/>
      <c r="LBO11" s="31"/>
      <c r="LBP11" s="31"/>
      <c r="LBQ11" s="31"/>
      <c r="LBR11" s="31"/>
      <c r="LBS11" s="31"/>
      <c r="LBT11" s="31"/>
      <c r="LBU11" s="31"/>
      <c r="LBV11" s="31"/>
      <c r="LBW11" s="31"/>
      <c r="LBX11" s="31"/>
      <c r="LBY11" s="31"/>
      <c r="LBZ11" s="31"/>
      <c r="LCA11" s="31"/>
      <c r="LCB11" s="31"/>
      <c r="LCC11" s="31"/>
      <c r="LCD11" s="31"/>
      <c r="LCE11" s="31"/>
      <c r="LCF11" s="31"/>
      <c r="LCG11" s="31"/>
      <c r="LCH11" s="31"/>
      <c r="LCI11" s="31"/>
      <c r="LCJ11" s="31"/>
      <c r="LCK11" s="31"/>
      <c r="LCL11" s="31"/>
      <c r="LCM11" s="31"/>
      <c r="LCN11" s="31"/>
      <c r="LCO11" s="31"/>
      <c r="LCP11" s="31"/>
      <c r="LCQ11" s="31"/>
      <c r="LCR11" s="31"/>
      <c r="LCS11" s="31"/>
      <c r="LCT11" s="31"/>
      <c r="LCU11" s="31"/>
      <c r="LCV11" s="31"/>
      <c r="LCW11" s="31"/>
      <c r="LCX11" s="31"/>
      <c r="LCY11" s="31"/>
      <c r="LCZ11" s="31"/>
      <c r="LDA11" s="31"/>
      <c r="LDB11" s="31"/>
      <c r="LDC11" s="31"/>
      <c r="LDD11" s="31"/>
      <c r="LDE11" s="31"/>
      <c r="LDF11" s="31"/>
      <c r="LDG11" s="31"/>
      <c r="LDH11" s="31"/>
      <c r="LDI11" s="31"/>
      <c r="LDJ11" s="31"/>
      <c r="LDK11" s="31"/>
      <c r="LDL11" s="31"/>
      <c r="LDM11" s="31"/>
      <c r="LDN11" s="31"/>
      <c r="LDO11" s="31"/>
      <c r="LDP11" s="31"/>
      <c r="LDQ11" s="31"/>
      <c r="LDR11" s="31"/>
      <c r="LDS11" s="31"/>
      <c r="LDT11" s="31"/>
      <c r="LDU11" s="31"/>
      <c r="LDV11" s="31"/>
      <c r="LDW11" s="31"/>
      <c r="LDX11" s="31"/>
      <c r="LDY11" s="31"/>
      <c r="LDZ11" s="31"/>
      <c r="LEA11" s="31"/>
      <c r="LEB11" s="31"/>
      <c r="LEC11" s="31"/>
      <c r="LED11" s="31"/>
      <c r="LEE11" s="31"/>
      <c r="LEF11" s="31"/>
      <c r="LEG11" s="31"/>
      <c r="LEH11" s="31"/>
      <c r="LEI11" s="31"/>
      <c r="LEJ11" s="31"/>
      <c r="LEK11" s="31"/>
      <c r="LEL11" s="31"/>
      <c r="LEM11" s="31"/>
      <c r="LEN11" s="31"/>
      <c r="LEO11" s="31"/>
      <c r="LEP11" s="31"/>
      <c r="LEQ11" s="31"/>
      <c r="LER11" s="31"/>
      <c r="LES11" s="31"/>
      <c r="LET11" s="31"/>
      <c r="LEU11" s="31"/>
      <c r="LEV11" s="31"/>
      <c r="LEW11" s="31"/>
      <c r="LEX11" s="31"/>
      <c r="LEY11" s="31"/>
      <c r="LEZ11" s="31"/>
      <c r="LFA11" s="31"/>
      <c r="LFB11" s="31"/>
      <c r="LFC11" s="31"/>
      <c r="LFD11" s="31"/>
      <c r="LFE11" s="31"/>
      <c r="LFF11" s="31"/>
      <c r="LFG11" s="31"/>
      <c r="LFH11" s="31"/>
      <c r="LFI11" s="31"/>
      <c r="LFJ11" s="31"/>
      <c r="LFK11" s="31"/>
      <c r="LFL11" s="31"/>
      <c r="LFM11" s="31"/>
      <c r="LFN11" s="31"/>
      <c r="LFO11" s="31"/>
      <c r="LFP11" s="31"/>
      <c r="LFQ11" s="31"/>
      <c r="LFR11" s="31"/>
      <c r="LFS11" s="31"/>
      <c r="LFT11" s="31"/>
      <c r="LFU11" s="31"/>
      <c r="LFV11" s="31"/>
      <c r="LFW11" s="31"/>
      <c r="LFX11" s="31"/>
      <c r="LFY11" s="31"/>
      <c r="LFZ11" s="31"/>
      <c r="LGA11" s="31"/>
      <c r="LGB11" s="31"/>
      <c r="LGC11" s="31"/>
      <c r="LGD11" s="31"/>
      <c r="LGE11" s="31"/>
      <c r="LGF11" s="31"/>
      <c r="LGG11" s="31"/>
      <c r="LGH11" s="31"/>
      <c r="LGI11" s="31"/>
      <c r="LGJ11" s="31"/>
      <c r="LGK11" s="31"/>
      <c r="LGL11" s="31"/>
      <c r="LGM11" s="31"/>
      <c r="LGN11" s="31"/>
      <c r="LGO11" s="31"/>
      <c r="LGP11" s="31"/>
      <c r="LGQ11" s="31"/>
      <c r="LGR11" s="31"/>
      <c r="LGS11" s="31"/>
      <c r="LGT11" s="31"/>
      <c r="LGU11" s="31"/>
      <c r="LGV11" s="31"/>
      <c r="LGW11" s="31"/>
      <c r="LGX11" s="31"/>
      <c r="LGY11" s="31"/>
      <c r="LGZ11" s="31"/>
      <c r="LHA11" s="31"/>
      <c r="LHB11" s="31"/>
      <c r="LHC11" s="31"/>
      <c r="LHD11" s="31"/>
      <c r="LHE11" s="31"/>
      <c r="LHF11" s="31"/>
      <c r="LHG11" s="31"/>
      <c r="LHH11" s="31"/>
      <c r="LHI11" s="31"/>
      <c r="LHJ11" s="31"/>
      <c r="LHK11" s="31"/>
      <c r="LHL11" s="31"/>
      <c r="LHM11" s="31"/>
      <c r="LHN11" s="31"/>
      <c r="LHO11" s="31"/>
      <c r="LHP11" s="31"/>
      <c r="LHQ11" s="31"/>
      <c r="LHR11" s="31"/>
      <c r="LHS11" s="31"/>
      <c r="LHT11" s="31"/>
      <c r="LHU11" s="31"/>
      <c r="LHV11" s="31"/>
      <c r="LHW11" s="31"/>
      <c r="LHX11" s="31"/>
      <c r="LHY11" s="31"/>
      <c r="LHZ11" s="31"/>
      <c r="LIA11" s="31"/>
      <c r="LIB11" s="31"/>
      <c r="LIC11" s="31"/>
      <c r="LID11" s="31"/>
      <c r="LIE11" s="31"/>
      <c r="LIF11" s="31"/>
      <c r="LIG11" s="31"/>
      <c r="LIH11" s="31"/>
      <c r="LII11" s="31"/>
      <c r="LIJ11" s="31"/>
      <c r="LIK11" s="31"/>
      <c r="LIL11" s="31"/>
      <c r="LIM11" s="31"/>
      <c r="LIN11" s="31"/>
      <c r="LIO11" s="31"/>
      <c r="LIP11" s="31"/>
      <c r="LIQ11" s="31"/>
      <c r="LIR11" s="31"/>
      <c r="LIS11" s="31"/>
      <c r="LIT11" s="31"/>
      <c r="LIU11" s="31"/>
      <c r="LIV11" s="31"/>
      <c r="LIW11" s="31"/>
      <c r="LIX11" s="31"/>
      <c r="LIY11" s="31"/>
      <c r="LIZ11" s="31"/>
      <c r="LJA11" s="31"/>
      <c r="LJB11" s="31"/>
      <c r="LJC11" s="31"/>
      <c r="LJD11" s="31"/>
      <c r="LJE11" s="31"/>
      <c r="LJF11" s="31"/>
      <c r="LJG11" s="31"/>
      <c r="LJH11" s="31"/>
      <c r="LJI11" s="31"/>
      <c r="LJJ11" s="31"/>
      <c r="LJK11" s="31"/>
      <c r="LJL11" s="31"/>
      <c r="LJM11" s="31"/>
      <c r="LJN11" s="31"/>
      <c r="LJO11" s="31"/>
      <c r="LJP11" s="31"/>
      <c r="LJQ11" s="31"/>
      <c r="LJR11" s="31"/>
      <c r="LJS11" s="31"/>
      <c r="LJT11" s="31"/>
      <c r="LJU11" s="31"/>
      <c r="LJV11" s="31"/>
      <c r="LJW11" s="31"/>
      <c r="LJX11" s="31"/>
      <c r="LJY11" s="31"/>
      <c r="LJZ11" s="31"/>
      <c r="LKA11" s="31"/>
      <c r="LKB11" s="31"/>
      <c r="LKC11" s="31"/>
      <c r="LKD11" s="31"/>
      <c r="LKE11" s="31"/>
      <c r="LKF11" s="31"/>
      <c r="LKG11" s="31"/>
      <c r="LKH11" s="31"/>
      <c r="LKI11" s="31"/>
      <c r="LKJ11" s="31"/>
      <c r="LKK11" s="31"/>
      <c r="LKL11" s="31"/>
      <c r="LKM11" s="31"/>
      <c r="LKN11" s="31"/>
      <c r="LKO11" s="31"/>
      <c r="LKP11" s="31"/>
      <c r="LKQ11" s="31"/>
      <c r="LKR11" s="31"/>
      <c r="LKS11" s="31"/>
      <c r="LKT11" s="31"/>
      <c r="LKU11" s="31"/>
      <c r="LKV11" s="31"/>
      <c r="LKW11" s="31"/>
      <c r="LKX11" s="31"/>
      <c r="LKY11" s="31"/>
      <c r="LKZ11" s="31"/>
      <c r="LLA11" s="31"/>
      <c r="LLB11" s="31"/>
      <c r="LLC11" s="31"/>
      <c r="LLD11" s="31"/>
      <c r="LLE11" s="31"/>
      <c r="LLF11" s="31"/>
      <c r="LLG11" s="31"/>
      <c r="LLH11" s="31"/>
      <c r="LLI11" s="31"/>
      <c r="LLJ11" s="31"/>
      <c r="LLK11" s="31"/>
      <c r="LLL11" s="31"/>
      <c r="LLM11" s="31"/>
      <c r="LLN11" s="31"/>
      <c r="LLO11" s="31"/>
      <c r="LLP11" s="31"/>
      <c r="LLQ11" s="31"/>
      <c r="LLR11" s="31"/>
      <c r="LLS11" s="31"/>
      <c r="LLT11" s="31"/>
      <c r="LLU11" s="31"/>
      <c r="LLV11" s="31"/>
      <c r="LLW11" s="31"/>
      <c r="LLX11" s="31"/>
      <c r="LLY11" s="31"/>
      <c r="LLZ11" s="31"/>
      <c r="LMA11" s="31"/>
      <c r="LMB11" s="31"/>
      <c r="LMC11" s="31"/>
      <c r="LMD11" s="31"/>
      <c r="LME11" s="31"/>
      <c r="LMF11" s="31"/>
      <c r="LMG11" s="31"/>
      <c r="LMH11" s="31"/>
      <c r="LMI11" s="31"/>
      <c r="LMJ11" s="31"/>
      <c r="LMK11" s="31"/>
      <c r="LML11" s="31"/>
      <c r="LMM11" s="31"/>
      <c r="LMN11" s="31"/>
      <c r="LMO11" s="31"/>
      <c r="LMP11" s="31"/>
      <c r="LMQ11" s="31"/>
      <c r="LMR11" s="31"/>
      <c r="LMS11" s="31"/>
      <c r="LMT11" s="31"/>
      <c r="LMU11" s="31"/>
      <c r="LMV11" s="31"/>
      <c r="LMW11" s="31"/>
      <c r="LMX11" s="31"/>
      <c r="LMY11" s="31"/>
      <c r="LMZ11" s="31"/>
      <c r="LNA11" s="31"/>
      <c r="LNB11" s="31"/>
      <c r="LNC11" s="31"/>
      <c r="LND11" s="31"/>
      <c r="LNE11" s="31"/>
      <c r="LNF11" s="31"/>
      <c r="LNG11" s="31"/>
      <c r="LNH11" s="31"/>
      <c r="LNI11" s="31"/>
      <c r="LNJ11" s="31"/>
      <c r="LNK11" s="31"/>
      <c r="LNL11" s="31"/>
      <c r="LNM11" s="31"/>
      <c r="LNN11" s="31"/>
      <c r="LNO11" s="31"/>
      <c r="LNP11" s="31"/>
      <c r="LNQ11" s="31"/>
      <c r="LNR11" s="31"/>
      <c r="LNS11" s="31"/>
      <c r="LNT11" s="31"/>
      <c r="LNU11" s="31"/>
      <c r="LNV11" s="31"/>
      <c r="LNW11" s="31"/>
      <c r="LNX11" s="31"/>
      <c r="LNY11" s="31"/>
      <c r="LNZ11" s="31"/>
      <c r="LOA11" s="31"/>
      <c r="LOB11" s="31"/>
      <c r="LOC11" s="31"/>
      <c r="LOD11" s="31"/>
      <c r="LOE11" s="31"/>
      <c r="LOF11" s="31"/>
      <c r="LOG11" s="31"/>
      <c r="LOH11" s="31"/>
      <c r="LOI11" s="31"/>
      <c r="LOJ11" s="31"/>
      <c r="LOK11" s="31"/>
      <c r="LOL11" s="31"/>
      <c r="LOM11" s="31"/>
      <c r="LON11" s="31"/>
      <c r="LOO11" s="31"/>
      <c r="LOP11" s="31"/>
      <c r="LOQ11" s="31"/>
      <c r="LOR11" s="31"/>
      <c r="LOS11" s="31"/>
      <c r="LOT11" s="31"/>
      <c r="LOU11" s="31"/>
      <c r="LOV11" s="31"/>
      <c r="LOW11" s="31"/>
      <c r="LOX11" s="31"/>
      <c r="LOY11" s="31"/>
      <c r="LOZ11" s="31"/>
      <c r="LPA11" s="31"/>
      <c r="LPB11" s="31"/>
      <c r="LPC11" s="31"/>
      <c r="LPD11" s="31"/>
      <c r="LPE11" s="31"/>
      <c r="LPF11" s="31"/>
      <c r="LPG11" s="31"/>
      <c r="LPH11" s="31"/>
      <c r="LPI11" s="31"/>
      <c r="LPJ11" s="31"/>
      <c r="LPK11" s="31"/>
      <c r="LPL11" s="31"/>
      <c r="LPM11" s="31"/>
      <c r="LPN11" s="31"/>
      <c r="LPO11" s="31"/>
      <c r="LPP11" s="31"/>
      <c r="LPQ11" s="31"/>
      <c r="LPR11" s="31"/>
      <c r="LPS11" s="31"/>
      <c r="LPT11" s="31"/>
      <c r="LPU11" s="31"/>
      <c r="LPV11" s="31"/>
      <c r="LPW11" s="31"/>
      <c r="LPX11" s="31"/>
      <c r="LPY11" s="31"/>
      <c r="LPZ11" s="31"/>
      <c r="LQA11" s="31"/>
      <c r="LQB11" s="31"/>
      <c r="LQC11" s="31"/>
      <c r="LQD11" s="31"/>
      <c r="LQE11" s="31"/>
      <c r="LQF11" s="31"/>
      <c r="LQG11" s="31"/>
      <c r="LQH11" s="31"/>
      <c r="LQI11" s="31"/>
      <c r="LQJ11" s="31"/>
      <c r="LQK11" s="31"/>
      <c r="LQL11" s="31"/>
      <c r="LQM11" s="31"/>
      <c r="LQN11" s="31"/>
      <c r="LQO11" s="31"/>
      <c r="LQP11" s="31"/>
      <c r="LQQ11" s="31"/>
      <c r="LQR11" s="31"/>
      <c r="LQS11" s="31"/>
      <c r="LQT11" s="31"/>
      <c r="LQU11" s="31"/>
      <c r="LQV11" s="31"/>
      <c r="LQW11" s="31"/>
      <c r="LQX11" s="31"/>
      <c r="LQY11" s="31"/>
      <c r="LQZ11" s="31"/>
      <c r="LRA11" s="31"/>
      <c r="LRB11" s="31"/>
      <c r="LRC11" s="31"/>
      <c r="LRD11" s="31"/>
      <c r="LRE11" s="31"/>
      <c r="LRF11" s="31"/>
      <c r="LRG11" s="31"/>
      <c r="LRH11" s="31"/>
      <c r="LRI11" s="31"/>
      <c r="LRJ11" s="31"/>
      <c r="LRK11" s="31"/>
      <c r="LRL11" s="31"/>
      <c r="LRM11" s="31"/>
      <c r="LRN11" s="31"/>
      <c r="LRO11" s="31"/>
      <c r="LRP11" s="31"/>
      <c r="LRQ11" s="31"/>
      <c r="LRR11" s="31"/>
      <c r="LRS11" s="31"/>
      <c r="LRT11" s="31"/>
      <c r="LRU11" s="31"/>
      <c r="LRV11" s="31"/>
      <c r="LRW11" s="31"/>
      <c r="LRX11" s="31"/>
      <c r="LRY11" s="31"/>
      <c r="LRZ11" s="31"/>
      <c r="LSA11" s="31"/>
      <c r="LSB11" s="31"/>
      <c r="LSC11" s="31"/>
      <c r="LSD11" s="31"/>
      <c r="LSE11" s="31"/>
      <c r="LSF11" s="31"/>
      <c r="LSG11" s="31"/>
      <c r="LSH11" s="31"/>
      <c r="LSI11" s="31"/>
      <c r="LSJ11" s="31"/>
      <c r="LSK11" s="31"/>
      <c r="LSL11" s="31"/>
      <c r="LSM11" s="31"/>
      <c r="LSN11" s="31"/>
      <c r="LSO11" s="31"/>
      <c r="LSP11" s="31"/>
      <c r="LSQ11" s="31"/>
      <c r="LSR11" s="31"/>
      <c r="LSS11" s="31"/>
      <c r="LST11" s="31"/>
      <c r="LSU11" s="31"/>
      <c r="LSV11" s="31"/>
      <c r="LSW11" s="31"/>
      <c r="LSX11" s="31"/>
      <c r="LSY11" s="31"/>
      <c r="LSZ11" s="31"/>
      <c r="LTA11" s="31"/>
      <c r="LTB11" s="31"/>
      <c r="LTC11" s="31"/>
      <c r="LTD11" s="31"/>
      <c r="LTE11" s="31"/>
      <c r="LTF11" s="31"/>
      <c r="LTG11" s="31"/>
      <c r="LTH11" s="31"/>
      <c r="LTI11" s="31"/>
      <c r="LTJ11" s="31"/>
      <c r="LTK11" s="31"/>
      <c r="LTL11" s="31"/>
      <c r="LTM11" s="31"/>
      <c r="LTN11" s="31"/>
      <c r="LTO11" s="31"/>
      <c r="LTP11" s="31"/>
      <c r="LTQ11" s="31"/>
      <c r="LTR11" s="31"/>
      <c r="LTS11" s="31"/>
      <c r="LTT11" s="31"/>
      <c r="LTU11" s="31"/>
      <c r="LTV11" s="31"/>
      <c r="LTW11" s="31"/>
      <c r="LTX11" s="31"/>
      <c r="LTY11" s="31"/>
      <c r="LTZ11" s="31"/>
      <c r="LUA11" s="31"/>
      <c r="LUB11" s="31"/>
      <c r="LUC11" s="31"/>
      <c r="LUD11" s="31"/>
      <c r="LUE11" s="31"/>
      <c r="LUF11" s="31"/>
      <c r="LUG11" s="31"/>
      <c r="LUH11" s="31"/>
      <c r="LUI11" s="31"/>
      <c r="LUJ11" s="31"/>
      <c r="LUK11" s="31"/>
      <c r="LUL11" s="31"/>
      <c r="LUM11" s="31"/>
      <c r="LUN11" s="31"/>
      <c r="LUO11" s="31"/>
      <c r="LUP11" s="31"/>
      <c r="LUQ11" s="31"/>
      <c r="LUR11" s="31"/>
      <c r="LUS11" s="31"/>
      <c r="LUT11" s="31"/>
      <c r="LUU11" s="31"/>
      <c r="LUV11" s="31"/>
      <c r="LUW11" s="31"/>
      <c r="LUX11" s="31"/>
      <c r="LUY11" s="31"/>
      <c r="LUZ11" s="31"/>
      <c r="LVA11" s="31"/>
      <c r="LVB11" s="31"/>
      <c r="LVC11" s="31"/>
      <c r="LVD11" s="31"/>
      <c r="LVE11" s="31"/>
      <c r="LVF11" s="31"/>
      <c r="LVG11" s="31"/>
      <c r="LVH11" s="31"/>
      <c r="LVI11" s="31"/>
      <c r="LVJ11" s="31"/>
      <c r="LVK11" s="31"/>
      <c r="LVL11" s="31"/>
      <c r="LVM11" s="31"/>
      <c r="LVN11" s="31"/>
      <c r="LVO11" s="31"/>
      <c r="LVP11" s="31"/>
      <c r="LVQ11" s="31"/>
      <c r="LVR11" s="31"/>
      <c r="LVS11" s="31"/>
      <c r="LVT11" s="31"/>
      <c r="LVU11" s="31"/>
      <c r="LVV11" s="31"/>
      <c r="LVW11" s="31"/>
      <c r="LVX11" s="31"/>
      <c r="LVY11" s="31"/>
      <c r="LVZ11" s="31"/>
      <c r="LWA11" s="31"/>
      <c r="LWB11" s="31"/>
      <c r="LWC11" s="31"/>
      <c r="LWD11" s="31"/>
      <c r="LWE11" s="31"/>
      <c r="LWF11" s="31"/>
      <c r="LWG11" s="31"/>
      <c r="LWH11" s="31"/>
      <c r="LWI11" s="31"/>
      <c r="LWJ11" s="31"/>
      <c r="LWK11" s="31"/>
      <c r="LWL11" s="31"/>
      <c r="LWM11" s="31"/>
      <c r="LWN11" s="31"/>
      <c r="LWO11" s="31"/>
      <c r="LWP11" s="31"/>
      <c r="LWQ11" s="31"/>
      <c r="LWR11" s="31"/>
      <c r="LWS11" s="31"/>
      <c r="LWT11" s="31"/>
      <c r="LWU11" s="31"/>
      <c r="LWV11" s="31"/>
      <c r="LWW11" s="31"/>
      <c r="LWX11" s="31"/>
      <c r="LWY11" s="31"/>
      <c r="LWZ11" s="31"/>
      <c r="LXA11" s="31"/>
      <c r="LXB11" s="31"/>
      <c r="LXC11" s="31"/>
      <c r="LXD11" s="31"/>
      <c r="LXE11" s="31"/>
      <c r="LXF11" s="31"/>
      <c r="LXG11" s="31"/>
      <c r="LXH11" s="31"/>
      <c r="LXI11" s="31"/>
      <c r="LXJ11" s="31"/>
      <c r="LXK11" s="31"/>
      <c r="LXL11" s="31"/>
      <c r="LXM11" s="31"/>
      <c r="LXN11" s="31"/>
      <c r="LXO11" s="31"/>
      <c r="LXP11" s="31"/>
      <c r="LXQ11" s="31"/>
      <c r="LXR11" s="31"/>
      <c r="LXS11" s="31"/>
      <c r="LXT11" s="31"/>
      <c r="LXU11" s="31"/>
      <c r="LXV11" s="31"/>
      <c r="LXW11" s="31"/>
      <c r="LXX11" s="31"/>
      <c r="LXY11" s="31"/>
      <c r="LXZ11" s="31"/>
      <c r="LYA11" s="31"/>
      <c r="LYB11" s="31"/>
      <c r="LYC11" s="31"/>
      <c r="LYD11" s="31"/>
      <c r="LYE11" s="31"/>
      <c r="LYF11" s="31"/>
      <c r="LYG11" s="31"/>
      <c r="LYH11" s="31"/>
      <c r="LYI11" s="31"/>
      <c r="LYJ11" s="31"/>
      <c r="LYK11" s="31"/>
      <c r="LYL11" s="31"/>
      <c r="LYM11" s="31"/>
      <c r="LYN11" s="31"/>
      <c r="LYO11" s="31"/>
      <c r="LYP11" s="31"/>
      <c r="LYQ11" s="31"/>
      <c r="LYR11" s="31"/>
      <c r="LYS11" s="31"/>
      <c r="LYT11" s="31"/>
      <c r="LYU11" s="31"/>
      <c r="LYV11" s="31"/>
      <c r="LYW11" s="31"/>
      <c r="LYX11" s="31"/>
      <c r="LYY11" s="31"/>
      <c r="LYZ11" s="31"/>
      <c r="LZA11" s="31"/>
      <c r="LZB11" s="31"/>
      <c r="LZC11" s="31"/>
      <c r="LZD11" s="31"/>
      <c r="LZE11" s="31"/>
      <c r="LZF11" s="31"/>
      <c r="LZG11" s="31"/>
      <c r="LZH11" s="31"/>
      <c r="LZI11" s="31"/>
      <c r="LZJ11" s="31"/>
      <c r="LZK11" s="31"/>
      <c r="LZL11" s="31"/>
      <c r="LZM11" s="31"/>
      <c r="LZN11" s="31"/>
      <c r="LZO11" s="31"/>
      <c r="LZP11" s="31"/>
      <c r="LZQ11" s="31"/>
      <c r="LZR11" s="31"/>
      <c r="LZS11" s="31"/>
      <c r="LZT11" s="31"/>
      <c r="LZU11" s="31"/>
      <c r="LZV11" s="31"/>
      <c r="LZW11" s="31"/>
      <c r="LZX11" s="31"/>
      <c r="LZY11" s="31"/>
      <c r="LZZ11" s="31"/>
      <c r="MAA11" s="31"/>
      <c r="MAB11" s="31"/>
      <c r="MAC11" s="31"/>
      <c r="MAD11" s="31"/>
      <c r="MAE11" s="31"/>
      <c r="MAF11" s="31"/>
      <c r="MAG11" s="31"/>
      <c r="MAH11" s="31"/>
      <c r="MAI11" s="31"/>
      <c r="MAJ11" s="31"/>
      <c r="MAK11" s="31"/>
      <c r="MAL11" s="31"/>
      <c r="MAM11" s="31"/>
      <c r="MAN11" s="31"/>
      <c r="MAO11" s="31"/>
      <c r="MAP11" s="31"/>
      <c r="MAQ11" s="31"/>
      <c r="MAR11" s="31"/>
      <c r="MAS11" s="31"/>
      <c r="MAT11" s="31"/>
      <c r="MAU11" s="31"/>
      <c r="MAV11" s="31"/>
      <c r="MAW11" s="31"/>
      <c r="MAX11" s="31"/>
      <c r="MAY11" s="31"/>
      <c r="MAZ11" s="31"/>
      <c r="MBA11" s="31"/>
      <c r="MBB11" s="31"/>
      <c r="MBC11" s="31"/>
      <c r="MBD11" s="31"/>
      <c r="MBE11" s="31"/>
      <c r="MBF11" s="31"/>
      <c r="MBG11" s="31"/>
      <c r="MBH11" s="31"/>
      <c r="MBI11" s="31"/>
      <c r="MBJ11" s="31"/>
      <c r="MBK11" s="31"/>
      <c r="MBL11" s="31"/>
      <c r="MBM11" s="31"/>
      <c r="MBN11" s="31"/>
      <c r="MBO11" s="31"/>
      <c r="MBP11" s="31"/>
      <c r="MBQ11" s="31"/>
      <c r="MBR11" s="31"/>
      <c r="MBS11" s="31"/>
      <c r="MBT11" s="31"/>
      <c r="MBU11" s="31"/>
      <c r="MBV11" s="31"/>
      <c r="MBW11" s="31"/>
      <c r="MBX11" s="31"/>
      <c r="MBY11" s="31"/>
      <c r="MBZ11" s="31"/>
      <c r="MCA11" s="31"/>
      <c r="MCB11" s="31"/>
      <c r="MCC11" s="31"/>
      <c r="MCD11" s="31"/>
      <c r="MCE11" s="31"/>
      <c r="MCF11" s="31"/>
      <c r="MCG11" s="31"/>
      <c r="MCH11" s="31"/>
      <c r="MCI11" s="31"/>
      <c r="MCJ11" s="31"/>
      <c r="MCK11" s="31"/>
      <c r="MCL11" s="31"/>
      <c r="MCM11" s="31"/>
      <c r="MCN11" s="31"/>
      <c r="MCO11" s="31"/>
      <c r="MCP11" s="31"/>
      <c r="MCQ11" s="31"/>
      <c r="MCR11" s="31"/>
      <c r="MCS11" s="31"/>
      <c r="MCT11" s="31"/>
      <c r="MCU11" s="31"/>
      <c r="MCV11" s="31"/>
      <c r="MCW11" s="31"/>
      <c r="MCX11" s="31"/>
      <c r="MCY11" s="31"/>
      <c r="MCZ11" s="31"/>
      <c r="MDA11" s="31"/>
      <c r="MDB11" s="31"/>
      <c r="MDC11" s="31"/>
      <c r="MDD11" s="31"/>
      <c r="MDE11" s="31"/>
      <c r="MDF11" s="31"/>
      <c r="MDG11" s="31"/>
      <c r="MDH11" s="31"/>
      <c r="MDI11" s="31"/>
      <c r="MDJ11" s="31"/>
      <c r="MDK11" s="31"/>
      <c r="MDL11" s="31"/>
      <c r="MDM11" s="31"/>
      <c r="MDN11" s="31"/>
      <c r="MDO11" s="31"/>
      <c r="MDP11" s="31"/>
      <c r="MDQ11" s="31"/>
      <c r="MDR11" s="31"/>
      <c r="MDS11" s="31"/>
      <c r="MDT11" s="31"/>
      <c r="MDU11" s="31"/>
      <c r="MDV11" s="31"/>
      <c r="MDW11" s="31"/>
      <c r="MDX11" s="31"/>
      <c r="MDY11" s="31"/>
      <c r="MDZ11" s="31"/>
      <c r="MEA11" s="31"/>
      <c r="MEB11" s="31"/>
      <c r="MEC11" s="31"/>
      <c r="MED11" s="31"/>
      <c r="MEE11" s="31"/>
      <c r="MEF11" s="31"/>
      <c r="MEG11" s="31"/>
      <c r="MEH11" s="31"/>
      <c r="MEI11" s="31"/>
      <c r="MEJ11" s="31"/>
      <c r="MEK11" s="31"/>
      <c r="MEL11" s="31"/>
      <c r="MEM11" s="31"/>
      <c r="MEN11" s="31"/>
      <c r="MEO11" s="31"/>
      <c r="MEP11" s="31"/>
      <c r="MEQ11" s="31"/>
      <c r="MER11" s="31"/>
      <c r="MES11" s="31"/>
      <c r="MET11" s="31"/>
      <c r="MEU11" s="31"/>
      <c r="MEV11" s="31"/>
      <c r="MEW11" s="31"/>
      <c r="MEX11" s="31"/>
      <c r="MEY11" s="31"/>
      <c r="MEZ11" s="31"/>
      <c r="MFA11" s="31"/>
      <c r="MFB11" s="31"/>
      <c r="MFC11" s="31"/>
      <c r="MFD11" s="31"/>
      <c r="MFE11" s="31"/>
      <c r="MFF11" s="31"/>
      <c r="MFG11" s="31"/>
      <c r="MFH11" s="31"/>
      <c r="MFI11" s="31"/>
      <c r="MFJ11" s="31"/>
      <c r="MFK11" s="31"/>
      <c r="MFL11" s="31"/>
      <c r="MFM11" s="31"/>
      <c r="MFN11" s="31"/>
      <c r="MFO11" s="31"/>
      <c r="MFP11" s="31"/>
      <c r="MFQ11" s="31"/>
      <c r="MFR11" s="31"/>
      <c r="MFS11" s="31"/>
      <c r="MFT11" s="31"/>
      <c r="MFU11" s="31"/>
      <c r="MFV11" s="31"/>
      <c r="MFW11" s="31"/>
      <c r="MFX11" s="31"/>
      <c r="MFY11" s="31"/>
      <c r="MFZ11" s="31"/>
      <c r="MGA11" s="31"/>
      <c r="MGB11" s="31"/>
      <c r="MGC11" s="31"/>
      <c r="MGD11" s="31"/>
      <c r="MGE11" s="31"/>
      <c r="MGF11" s="31"/>
      <c r="MGG11" s="31"/>
      <c r="MGH11" s="31"/>
      <c r="MGI11" s="31"/>
      <c r="MGJ11" s="31"/>
      <c r="MGK11" s="31"/>
      <c r="MGL11" s="31"/>
      <c r="MGM11" s="31"/>
      <c r="MGN11" s="31"/>
      <c r="MGO11" s="31"/>
      <c r="MGP11" s="31"/>
      <c r="MGQ11" s="31"/>
      <c r="MGR11" s="31"/>
      <c r="MGS11" s="31"/>
      <c r="MGT11" s="31"/>
      <c r="MGU11" s="31"/>
      <c r="MGV11" s="31"/>
      <c r="MGW11" s="31"/>
      <c r="MGX11" s="31"/>
      <c r="MGY11" s="31"/>
      <c r="MGZ11" s="31"/>
      <c r="MHA11" s="31"/>
      <c r="MHB11" s="31"/>
      <c r="MHC11" s="31"/>
      <c r="MHD11" s="31"/>
      <c r="MHE11" s="31"/>
      <c r="MHF11" s="31"/>
      <c r="MHG11" s="31"/>
      <c r="MHH11" s="31"/>
      <c r="MHI11" s="31"/>
      <c r="MHJ11" s="31"/>
      <c r="MHK11" s="31"/>
      <c r="MHL11" s="31"/>
      <c r="MHM11" s="31"/>
      <c r="MHN11" s="31"/>
      <c r="MHO11" s="31"/>
      <c r="MHP11" s="31"/>
      <c r="MHQ11" s="31"/>
      <c r="MHR11" s="31"/>
      <c r="MHS11" s="31"/>
      <c r="MHT11" s="31"/>
      <c r="MHU11" s="31"/>
      <c r="MHV11" s="31"/>
      <c r="MHW11" s="31"/>
      <c r="MHX11" s="31"/>
      <c r="MHY11" s="31"/>
      <c r="MHZ11" s="31"/>
      <c r="MIA11" s="31"/>
      <c r="MIB11" s="31"/>
      <c r="MIC11" s="31"/>
      <c r="MID11" s="31"/>
      <c r="MIE11" s="31"/>
      <c r="MIF11" s="31"/>
      <c r="MIG11" s="31"/>
      <c r="MIH11" s="31"/>
      <c r="MII11" s="31"/>
      <c r="MIJ11" s="31"/>
      <c r="MIK11" s="31"/>
      <c r="MIL11" s="31"/>
      <c r="MIM11" s="31"/>
      <c r="MIN11" s="31"/>
      <c r="MIO11" s="31"/>
      <c r="MIP11" s="31"/>
      <c r="MIQ11" s="31"/>
      <c r="MIR11" s="31"/>
      <c r="MIS11" s="31"/>
      <c r="MIT11" s="31"/>
      <c r="MIU11" s="31"/>
      <c r="MIV11" s="31"/>
      <c r="MIW11" s="31"/>
      <c r="MIX11" s="31"/>
      <c r="MIY11" s="31"/>
      <c r="MIZ11" s="31"/>
      <c r="MJA11" s="31"/>
      <c r="MJB11" s="31"/>
      <c r="MJC11" s="31"/>
      <c r="MJD11" s="31"/>
      <c r="MJE11" s="31"/>
      <c r="MJF11" s="31"/>
      <c r="MJG11" s="31"/>
      <c r="MJH11" s="31"/>
      <c r="MJI11" s="31"/>
      <c r="MJJ11" s="31"/>
      <c r="MJK11" s="31"/>
      <c r="MJL11" s="31"/>
      <c r="MJM11" s="31"/>
      <c r="MJN11" s="31"/>
      <c r="MJO11" s="31"/>
      <c r="MJP11" s="31"/>
      <c r="MJQ11" s="31"/>
      <c r="MJR11" s="31"/>
      <c r="MJS11" s="31"/>
      <c r="MJT11" s="31"/>
      <c r="MJU11" s="31"/>
      <c r="MJV11" s="31"/>
      <c r="MJW11" s="31"/>
      <c r="MJX11" s="31"/>
      <c r="MJY11" s="31"/>
      <c r="MJZ11" s="31"/>
      <c r="MKA11" s="31"/>
      <c r="MKB11" s="31"/>
      <c r="MKC11" s="31"/>
      <c r="MKD11" s="31"/>
      <c r="MKE11" s="31"/>
      <c r="MKF11" s="31"/>
      <c r="MKG11" s="31"/>
      <c r="MKH11" s="31"/>
      <c r="MKI11" s="31"/>
      <c r="MKJ11" s="31"/>
      <c r="MKK11" s="31"/>
      <c r="MKL11" s="31"/>
      <c r="MKM11" s="31"/>
      <c r="MKN11" s="31"/>
      <c r="MKO11" s="31"/>
      <c r="MKP11" s="31"/>
      <c r="MKQ11" s="31"/>
      <c r="MKR11" s="31"/>
      <c r="MKS11" s="31"/>
      <c r="MKT11" s="31"/>
      <c r="MKU11" s="31"/>
      <c r="MKV11" s="31"/>
      <c r="MKW11" s="31"/>
      <c r="MKX11" s="31"/>
      <c r="MKY11" s="31"/>
      <c r="MKZ11" s="31"/>
      <c r="MLA11" s="31"/>
      <c r="MLB11" s="31"/>
      <c r="MLC11" s="31"/>
      <c r="MLD11" s="31"/>
      <c r="MLE11" s="31"/>
      <c r="MLF11" s="31"/>
      <c r="MLG11" s="31"/>
      <c r="MLH11" s="31"/>
      <c r="MLI11" s="31"/>
      <c r="MLJ11" s="31"/>
      <c r="MLK11" s="31"/>
      <c r="MLL11" s="31"/>
      <c r="MLM11" s="31"/>
      <c r="MLN11" s="31"/>
      <c r="MLO11" s="31"/>
      <c r="MLP11" s="31"/>
      <c r="MLQ11" s="31"/>
      <c r="MLR11" s="31"/>
      <c r="MLS11" s="31"/>
      <c r="MLT11" s="31"/>
      <c r="MLU11" s="31"/>
      <c r="MLV11" s="31"/>
      <c r="MLW11" s="31"/>
      <c r="MLX11" s="31"/>
      <c r="MLY11" s="31"/>
      <c r="MLZ11" s="31"/>
      <c r="MMA11" s="31"/>
      <c r="MMB11" s="31"/>
      <c r="MMC11" s="31"/>
      <c r="MMD11" s="31"/>
      <c r="MME11" s="31"/>
      <c r="MMF11" s="31"/>
      <c r="MMG11" s="31"/>
      <c r="MMH11" s="31"/>
      <c r="MMI11" s="31"/>
      <c r="MMJ11" s="31"/>
      <c r="MMK11" s="31"/>
      <c r="MML11" s="31"/>
      <c r="MMM11" s="31"/>
      <c r="MMN11" s="31"/>
      <c r="MMO11" s="31"/>
      <c r="MMP11" s="31"/>
      <c r="MMQ11" s="31"/>
      <c r="MMR11" s="31"/>
      <c r="MMS11" s="31"/>
      <c r="MMT11" s="31"/>
      <c r="MMU11" s="31"/>
      <c r="MMV11" s="31"/>
      <c r="MMW11" s="31"/>
      <c r="MMX11" s="31"/>
      <c r="MMY11" s="31"/>
      <c r="MMZ11" s="31"/>
      <c r="MNA11" s="31"/>
      <c r="MNB11" s="31"/>
      <c r="MNC11" s="31"/>
      <c r="MND11" s="31"/>
      <c r="MNE11" s="31"/>
      <c r="MNF11" s="31"/>
      <c r="MNG11" s="31"/>
      <c r="MNH11" s="31"/>
      <c r="MNI11" s="31"/>
      <c r="MNJ11" s="31"/>
      <c r="MNK11" s="31"/>
      <c r="MNL11" s="31"/>
      <c r="MNM11" s="31"/>
      <c r="MNN11" s="31"/>
      <c r="MNO11" s="31"/>
      <c r="MNP11" s="31"/>
      <c r="MNQ11" s="31"/>
      <c r="MNR11" s="31"/>
      <c r="MNS11" s="31"/>
      <c r="MNT11" s="31"/>
      <c r="MNU11" s="31"/>
      <c r="MNV11" s="31"/>
      <c r="MNW11" s="31"/>
      <c r="MNX11" s="31"/>
      <c r="MNY11" s="31"/>
      <c r="MNZ11" s="31"/>
      <c r="MOA11" s="31"/>
      <c r="MOB11" s="31"/>
      <c r="MOC11" s="31"/>
      <c r="MOD11" s="31"/>
      <c r="MOE11" s="31"/>
      <c r="MOF11" s="31"/>
      <c r="MOG11" s="31"/>
      <c r="MOH11" s="31"/>
      <c r="MOI11" s="31"/>
      <c r="MOJ11" s="31"/>
      <c r="MOK11" s="31"/>
      <c r="MOL11" s="31"/>
      <c r="MOM11" s="31"/>
      <c r="MON11" s="31"/>
      <c r="MOO11" s="31"/>
      <c r="MOP11" s="31"/>
      <c r="MOQ11" s="31"/>
      <c r="MOR11" s="31"/>
      <c r="MOS11" s="31"/>
      <c r="MOT11" s="31"/>
      <c r="MOU11" s="31"/>
      <c r="MOV11" s="31"/>
      <c r="MOW11" s="31"/>
      <c r="MOX11" s="31"/>
      <c r="MOY11" s="31"/>
      <c r="MOZ11" s="31"/>
      <c r="MPA11" s="31"/>
      <c r="MPB11" s="31"/>
      <c r="MPC11" s="31"/>
      <c r="MPD11" s="31"/>
      <c r="MPE11" s="31"/>
      <c r="MPF11" s="31"/>
      <c r="MPG11" s="31"/>
      <c r="MPH11" s="31"/>
      <c r="MPI11" s="31"/>
      <c r="MPJ11" s="31"/>
      <c r="MPK11" s="31"/>
      <c r="MPL11" s="31"/>
      <c r="MPM11" s="31"/>
      <c r="MPN11" s="31"/>
      <c r="MPO11" s="31"/>
      <c r="MPP11" s="31"/>
      <c r="MPQ11" s="31"/>
      <c r="MPR11" s="31"/>
      <c r="MPS11" s="31"/>
      <c r="MPT11" s="31"/>
      <c r="MPU11" s="31"/>
      <c r="MPV11" s="31"/>
      <c r="MPW11" s="31"/>
      <c r="MPX11" s="31"/>
      <c r="MPY11" s="31"/>
      <c r="MPZ11" s="31"/>
      <c r="MQA11" s="31"/>
      <c r="MQB11" s="31"/>
      <c r="MQC11" s="31"/>
      <c r="MQD11" s="31"/>
      <c r="MQE11" s="31"/>
      <c r="MQF11" s="31"/>
      <c r="MQG11" s="31"/>
      <c r="MQH11" s="31"/>
      <c r="MQI11" s="31"/>
      <c r="MQJ11" s="31"/>
      <c r="MQK11" s="31"/>
      <c r="MQL11" s="31"/>
      <c r="MQM11" s="31"/>
      <c r="MQN11" s="31"/>
      <c r="MQO11" s="31"/>
      <c r="MQP11" s="31"/>
      <c r="MQQ11" s="31"/>
      <c r="MQR11" s="31"/>
      <c r="MQS11" s="31"/>
      <c r="MQT11" s="31"/>
      <c r="MQU11" s="31"/>
      <c r="MQV11" s="31"/>
      <c r="MQW11" s="31"/>
      <c r="MQX11" s="31"/>
      <c r="MQY11" s="31"/>
      <c r="MQZ11" s="31"/>
      <c r="MRA11" s="31"/>
      <c r="MRB11" s="31"/>
      <c r="MRC11" s="31"/>
      <c r="MRD11" s="31"/>
      <c r="MRE11" s="31"/>
      <c r="MRF11" s="31"/>
      <c r="MRG11" s="31"/>
      <c r="MRH11" s="31"/>
      <c r="MRI11" s="31"/>
      <c r="MRJ11" s="31"/>
      <c r="MRK11" s="31"/>
      <c r="MRL11" s="31"/>
      <c r="MRM11" s="31"/>
      <c r="MRN11" s="31"/>
      <c r="MRO11" s="31"/>
      <c r="MRP11" s="31"/>
      <c r="MRQ11" s="31"/>
      <c r="MRR11" s="31"/>
      <c r="MRS11" s="31"/>
      <c r="MRT11" s="31"/>
      <c r="MRU11" s="31"/>
      <c r="MRV11" s="31"/>
      <c r="MRW11" s="31"/>
      <c r="MRX11" s="31"/>
      <c r="MRY11" s="31"/>
      <c r="MRZ11" s="31"/>
      <c r="MSA11" s="31"/>
      <c r="MSB11" s="31"/>
      <c r="MSC11" s="31"/>
      <c r="MSD11" s="31"/>
      <c r="MSE11" s="31"/>
      <c r="MSF11" s="31"/>
      <c r="MSG11" s="31"/>
      <c r="MSH11" s="31"/>
      <c r="MSI11" s="31"/>
      <c r="MSJ11" s="31"/>
      <c r="MSK11" s="31"/>
      <c r="MSL11" s="31"/>
      <c r="MSM11" s="31"/>
      <c r="MSN11" s="31"/>
      <c r="MSO11" s="31"/>
      <c r="MSP11" s="31"/>
      <c r="MSQ11" s="31"/>
      <c r="MSR11" s="31"/>
      <c r="MSS11" s="31"/>
      <c r="MST11" s="31"/>
      <c r="MSU11" s="31"/>
      <c r="MSV11" s="31"/>
      <c r="MSW11" s="31"/>
      <c r="MSX11" s="31"/>
      <c r="MSY11" s="31"/>
      <c r="MSZ11" s="31"/>
      <c r="MTA11" s="31"/>
      <c r="MTB11" s="31"/>
      <c r="MTC11" s="31"/>
      <c r="MTD11" s="31"/>
      <c r="MTE11" s="31"/>
      <c r="MTF11" s="31"/>
      <c r="MTG11" s="31"/>
      <c r="MTH11" s="31"/>
      <c r="MTI11" s="31"/>
      <c r="MTJ11" s="31"/>
      <c r="MTK11" s="31"/>
      <c r="MTL11" s="31"/>
      <c r="MTM11" s="31"/>
      <c r="MTN11" s="31"/>
      <c r="MTO11" s="31"/>
      <c r="MTP11" s="31"/>
      <c r="MTQ11" s="31"/>
      <c r="MTR11" s="31"/>
      <c r="MTS11" s="31"/>
      <c r="MTT11" s="31"/>
      <c r="MTU11" s="31"/>
      <c r="MTV11" s="31"/>
      <c r="MTW11" s="31"/>
      <c r="MTX11" s="31"/>
      <c r="MTY11" s="31"/>
      <c r="MTZ11" s="31"/>
      <c r="MUA11" s="31"/>
      <c r="MUB11" s="31"/>
      <c r="MUC11" s="31"/>
      <c r="MUD11" s="31"/>
      <c r="MUE11" s="31"/>
      <c r="MUF11" s="31"/>
      <c r="MUG11" s="31"/>
      <c r="MUH11" s="31"/>
      <c r="MUI11" s="31"/>
      <c r="MUJ11" s="31"/>
      <c r="MUK11" s="31"/>
      <c r="MUL11" s="31"/>
      <c r="MUM11" s="31"/>
      <c r="MUN11" s="31"/>
      <c r="MUO11" s="31"/>
      <c r="MUP11" s="31"/>
      <c r="MUQ11" s="31"/>
      <c r="MUR11" s="31"/>
      <c r="MUS11" s="31"/>
      <c r="MUT11" s="31"/>
      <c r="MUU11" s="31"/>
      <c r="MUV11" s="31"/>
      <c r="MUW11" s="31"/>
      <c r="MUX11" s="31"/>
      <c r="MUY11" s="31"/>
      <c r="MUZ11" s="31"/>
      <c r="MVA11" s="31"/>
      <c r="MVB11" s="31"/>
      <c r="MVC11" s="31"/>
      <c r="MVD11" s="31"/>
      <c r="MVE11" s="31"/>
      <c r="MVF11" s="31"/>
      <c r="MVG11" s="31"/>
      <c r="MVH11" s="31"/>
      <c r="MVI11" s="31"/>
      <c r="MVJ11" s="31"/>
      <c r="MVK11" s="31"/>
      <c r="MVL11" s="31"/>
      <c r="MVM11" s="31"/>
      <c r="MVN11" s="31"/>
      <c r="MVO11" s="31"/>
      <c r="MVP11" s="31"/>
      <c r="MVQ11" s="31"/>
      <c r="MVR11" s="31"/>
      <c r="MVS11" s="31"/>
      <c r="MVT11" s="31"/>
      <c r="MVU11" s="31"/>
      <c r="MVV11" s="31"/>
      <c r="MVW11" s="31"/>
      <c r="MVX11" s="31"/>
      <c r="MVY11" s="31"/>
      <c r="MVZ11" s="31"/>
      <c r="MWA11" s="31"/>
      <c r="MWB11" s="31"/>
      <c r="MWC11" s="31"/>
      <c r="MWD11" s="31"/>
      <c r="MWE11" s="31"/>
      <c r="MWF11" s="31"/>
      <c r="MWG11" s="31"/>
      <c r="MWH11" s="31"/>
      <c r="MWI11" s="31"/>
      <c r="MWJ11" s="31"/>
      <c r="MWK11" s="31"/>
      <c r="MWL11" s="31"/>
      <c r="MWM11" s="31"/>
      <c r="MWN11" s="31"/>
      <c r="MWO11" s="31"/>
      <c r="MWP11" s="31"/>
      <c r="MWQ11" s="31"/>
      <c r="MWR11" s="31"/>
      <c r="MWS11" s="31"/>
      <c r="MWT11" s="31"/>
      <c r="MWU11" s="31"/>
      <c r="MWV11" s="31"/>
      <c r="MWW11" s="31"/>
      <c r="MWX11" s="31"/>
      <c r="MWY11" s="31"/>
      <c r="MWZ11" s="31"/>
      <c r="MXA11" s="31"/>
      <c r="MXB11" s="31"/>
      <c r="MXC11" s="31"/>
      <c r="MXD11" s="31"/>
      <c r="MXE11" s="31"/>
      <c r="MXF11" s="31"/>
      <c r="MXG11" s="31"/>
      <c r="MXH11" s="31"/>
      <c r="MXI11" s="31"/>
      <c r="MXJ11" s="31"/>
      <c r="MXK11" s="31"/>
      <c r="MXL11" s="31"/>
      <c r="MXM11" s="31"/>
      <c r="MXN11" s="31"/>
      <c r="MXO11" s="31"/>
      <c r="MXP11" s="31"/>
      <c r="MXQ11" s="31"/>
      <c r="MXR11" s="31"/>
      <c r="MXS11" s="31"/>
      <c r="MXT11" s="31"/>
      <c r="MXU11" s="31"/>
      <c r="MXV11" s="31"/>
      <c r="MXW11" s="31"/>
      <c r="MXX11" s="31"/>
      <c r="MXY11" s="31"/>
      <c r="MXZ11" s="31"/>
      <c r="MYA11" s="31"/>
      <c r="MYB11" s="31"/>
      <c r="MYC11" s="31"/>
      <c r="MYD11" s="31"/>
      <c r="MYE11" s="31"/>
      <c r="MYF11" s="31"/>
      <c r="MYG11" s="31"/>
      <c r="MYH11" s="31"/>
      <c r="MYI11" s="31"/>
      <c r="MYJ11" s="31"/>
      <c r="MYK11" s="31"/>
      <c r="MYL11" s="31"/>
      <c r="MYM11" s="31"/>
      <c r="MYN11" s="31"/>
      <c r="MYO11" s="31"/>
      <c r="MYP11" s="31"/>
      <c r="MYQ11" s="31"/>
      <c r="MYR11" s="31"/>
      <c r="MYS11" s="31"/>
      <c r="MYT11" s="31"/>
      <c r="MYU11" s="31"/>
      <c r="MYV11" s="31"/>
      <c r="MYW11" s="31"/>
      <c r="MYX11" s="31"/>
      <c r="MYY11" s="31"/>
      <c r="MYZ11" s="31"/>
      <c r="MZA11" s="31"/>
      <c r="MZB11" s="31"/>
      <c r="MZC11" s="31"/>
      <c r="MZD11" s="31"/>
      <c r="MZE11" s="31"/>
      <c r="MZF11" s="31"/>
      <c r="MZG11" s="31"/>
      <c r="MZH11" s="31"/>
      <c r="MZI11" s="31"/>
      <c r="MZJ11" s="31"/>
      <c r="MZK11" s="31"/>
      <c r="MZL11" s="31"/>
      <c r="MZM11" s="31"/>
      <c r="MZN11" s="31"/>
      <c r="MZO11" s="31"/>
      <c r="MZP11" s="31"/>
      <c r="MZQ11" s="31"/>
      <c r="MZR11" s="31"/>
      <c r="MZS11" s="31"/>
      <c r="MZT11" s="31"/>
      <c r="MZU11" s="31"/>
      <c r="MZV11" s="31"/>
      <c r="MZW11" s="31"/>
      <c r="MZX11" s="31"/>
      <c r="MZY11" s="31"/>
      <c r="MZZ11" s="31"/>
      <c r="NAA11" s="31"/>
      <c r="NAB11" s="31"/>
      <c r="NAC11" s="31"/>
      <c r="NAD11" s="31"/>
      <c r="NAE11" s="31"/>
      <c r="NAF11" s="31"/>
      <c r="NAG11" s="31"/>
      <c r="NAH11" s="31"/>
      <c r="NAI11" s="31"/>
      <c r="NAJ11" s="31"/>
      <c r="NAK11" s="31"/>
      <c r="NAL11" s="31"/>
      <c r="NAM11" s="31"/>
      <c r="NAN11" s="31"/>
      <c r="NAO11" s="31"/>
      <c r="NAP11" s="31"/>
      <c r="NAQ11" s="31"/>
      <c r="NAR11" s="31"/>
      <c r="NAS11" s="31"/>
      <c r="NAT11" s="31"/>
      <c r="NAU11" s="31"/>
      <c r="NAV11" s="31"/>
      <c r="NAW11" s="31"/>
      <c r="NAX11" s="31"/>
      <c r="NAY11" s="31"/>
      <c r="NAZ11" s="31"/>
      <c r="NBA11" s="31"/>
      <c r="NBB11" s="31"/>
      <c r="NBC11" s="31"/>
      <c r="NBD11" s="31"/>
      <c r="NBE11" s="31"/>
      <c r="NBF11" s="31"/>
      <c r="NBG11" s="31"/>
      <c r="NBH11" s="31"/>
      <c r="NBI11" s="31"/>
      <c r="NBJ11" s="31"/>
      <c r="NBK11" s="31"/>
      <c r="NBL11" s="31"/>
      <c r="NBM11" s="31"/>
      <c r="NBN11" s="31"/>
      <c r="NBO11" s="31"/>
      <c r="NBP11" s="31"/>
      <c r="NBQ11" s="31"/>
      <c r="NBR11" s="31"/>
      <c r="NBS11" s="31"/>
      <c r="NBT11" s="31"/>
      <c r="NBU11" s="31"/>
      <c r="NBV11" s="31"/>
      <c r="NBW11" s="31"/>
      <c r="NBX11" s="31"/>
      <c r="NBY11" s="31"/>
      <c r="NBZ11" s="31"/>
      <c r="NCA11" s="31"/>
      <c r="NCB11" s="31"/>
      <c r="NCC11" s="31"/>
      <c r="NCD11" s="31"/>
      <c r="NCE11" s="31"/>
      <c r="NCF11" s="31"/>
      <c r="NCG11" s="31"/>
      <c r="NCH11" s="31"/>
      <c r="NCI11" s="31"/>
      <c r="NCJ11" s="31"/>
      <c r="NCK11" s="31"/>
      <c r="NCL11" s="31"/>
      <c r="NCM11" s="31"/>
      <c r="NCN11" s="31"/>
      <c r="NCO11" s="31"/>
      <c r="NCP11" s="31"/>
      <c r="NCQ11" s="31"/>
      <c r="NCR11" s="31"/>
      <c r="NCS11" s="31"/>
      <c r="NCT11" s="31"/>
      <c r="NCU11" s="31"/>
      <c r="NCV11" s="31"/>
      <c r="NCW11" s="31"/>
      <c r="NCX11" s="31"/>
      <c r="NCY11" s="31"/>
      <c r="NCZ11" s="31"/>
      <c r="NDA11" s="31"/>
      <c r="NDB11" s="31"/>
      <c r="NDC11" s="31"/>
      <c r="NDD11" s="31"/>
      <c r="NDE11" s="31"/>
      <c r="NDF11" s="31"/>
      <c r="NDG11" s="31"/>
      <c r="NDH11" s="31"/>
      <c r="NDI11" s="31"/>
      <c r="NDJ11" s="31"/>
      <c r="NDK11" s="31"/>
      <c r="NDL11" s="31"/>
      <c r="NDM11" s="31"/>
      <c r="NDN11" s="31"/>
      <c r="NDO11" s="31"/>
      <c r="NDP11" s="31"/>
      <c r="NDQ11" s="31"/>
      <c r="NDR11" s="31"/>
      <c r="NDS11" s="31"/>
      <c r="NDT11" s="31"/>
      <c r="NDU11" s="31"/>
      <c r="NDV11" s="31"/>
      <c r="NDW11" s="31"/>
      <c r="NDX11" s="31"/>
      <c r="NDY11" s="31"/>
      <c r="NDZ11" s="31"/>
      <c r="NEA11" s="31"/>
      <c r="NEB11" s="31"/>
      <c r="NEC11" s="31"/>
      <c r="NED11" s="31"/>
      <c r="NEE11" s="31"/>
      <c r="NEF11" s="31"/>
      <c r="NEG11" s="31"/>
      <c r="NEH11" s="31"/>
      <c r="NEI11" s="31"/>
      <c r="NEJ11" s="31"/>
      <c r="NEK11" s="31"/>
      <c r="NEL11" s="31"/>
      <c r="NEM11" s="31"/>
      <c r="NEN11" s="31"/>
      <c r="NEO11" s="31"/>
      <c r="NEP11" s="31"/>
      <c r="NEQ11" s="31"/>
      <c r="NER11" s="31"/>
      <c r="NES11" s="31"/>
      <c r="NET11" s="31"/>
      <c r="NEU11" s="31"/>
      <c r="NEV11" s="31"/>
      <c r="NEW11" s="31"/>
      <c r="NEX11" s="31"/>
      <c r="NEY11" s="31"/>
      <c r="NEZ11" s="31"/>
      <c r="NFA11" s="31"/>
      <c r="NFB11" s="31"/>
      <c r="NFC11" s="31"/>
      <c r="NFD11" s="31"/>
      <c r="NFE11" s="31"/>
      <c r="NFF11" s="31"/>
      <c r="NFG11" s="31"/>
      <c r="NFH11" s="31"/>
      <c r="NFI11" s="31"/>
      <c r="NFJ11" s="31"/>
      <c r="NFK11" s="31"/>
      <c r="NFL11" s="31"/>
      <c r="NFM11" s="31"/>
      <c r="NFN11" s="31"/>
      <c r="NFO11" s="31"/>
      <c r="NFP11" s="31"/>
      <c r="NFQ11" s="31"/>
      <c r="NFR11" s="31"/>
      <c r="NFS11" s="31"/>
      <c r="NFT11" s="31"/>
      <c r="NFU11" s="31"/>
      <c r="NFV11" s="31"/>
      <c r="NFW11" s="31"/>
      <c r="NFX11" s="31"/>
      <c r="NFY11" s="31"/>
      <c r="NFZ11" s="31"/>
      <c r="NGA11" s="31"/>
      <c r="NGB11" s="31"/>
      <c r="NGC11" s="31"/>
      <c r="NGD11" s="31"/>
      <c r="NGE11" s="31"/>
      <c r="NGF11" s="31"/>
      <c r="NGG11" s="31"/>
      <c r="NGH11" s="31"/>
      <c r="NGI11" s="31"/>
      <c r="NGJ11" s="31"/>
      <c r="NGK11" s="31"/>
      <c r="NGL11" s="31"/>
      <c r="NGM11" s="31"/>
      <c r="NGN11" s="31"/>
      <c r="NGO11" s="31"/>
      <c r="NGP11" s="31"/>
      <c r="NGQ11" s="31"/>
      <c r="NGR11" s="31"/>
      <c r="NGS11" s="31"/>
      <c r="NGT11" s="31"/>
      <c r="NGU11" s="31"/>
      <c r="NGV11" s="31"/>
      <c r="NGW11" s="31"/>
      <c r="NGX11" s="31"/>
      <c r="NGY11" s="31"/>
      <c r="NGZ11" s="31"/>
      <c r="NHA11" s="31"/>
      <c r="NHB11" s="31"/>
      <c r="NHC11" s="31"/>
      <c r="NHD11" s="31"/>
      <c r="NHE11" s="31"/>
      <c r="NHF11" s="31"/>
      <c r="NHG11" s="31"/>
      <c r="NHH11" s="31"/>
      <c r="NHI11" s="31"/>
      <c r="NHJ11" s="31"/>
      <c r="NHK11" s="31"/>
      <c r="NHL11" s="31"/>
      <c r="NHM11" s="31"/>
      <c r="NHN11" s="31"/>
      <c r="NHO11" s="31"/>
      <c r="NHP11" s="31"/>
      <c r="NHQ11" s="31"/>
      <c r="NHR11" s="31"/>
      <c r="NHS11" s="31"/>
      <c r="NHT11" s="31"/>
      <c r="NHU11" s="31"/>
      <c r="NHV11" s="31"/>
      <c r="NHW11" s="31"/>
      <c r="NHX11" s="31"/>
      <c r="NHY11" s="31"/>
      <c r="NHZ11" s="31"/>
      <c r="NIA11" s="31"/>
      <c r="NIB11" s="31"/>
      <c r="NIC11" s="31"/>
      <c r="NID11" s="31"/>
      <c r="NIE11" s="31"/>
      <c r="NIF11" s="31"/>
      <c r="NIG11" s="31"/>
      <c r="NIH11" s="31"/>
      <c r="NII11" s="31"/>
      <c r="NIJ11" s="31"/>
      <c r="NIK11" s="31"/>
      <c r="NIL11" s="31"/>
      <c r="NIM11" s="31"/>
      <c r="NIN11" s="31"/>
      <c r="NIO11" s="31"/>
      <c r="NIP11" s="31"/>
      <c r="NIQ11" s="31"/>
      <c r="NIR11" s="31"/>
      <c r="NIS11" s="31"/>
      <c r="NIT11" s="31"/>
      <c r="NIU11" s="31"/>
      <c r="NIV11" s="31"/>
      <c r="NIW11" s="31"/>
      <c r="NIX11" s="31"/>
      <c r="NIY11" s="31"/>
      <c r="NIZ11" s="31"/>
      <c r="NJA11" s="31"/>
      <c r="NJB11" s="31"/>
      <c r="NJC11" s="31"/>
      <c r="NJD11" s="31"/>
      <c r="NJE11" s="31"/>
      <c r="NJF11" s="31"/>
      <c r="NJG11" s="31"/>
      <c r="NJH11" s="31"/>
      <c r="NJI11" s="31"/>
      <c r="NJJ11" s="31"/>
      <c r="NJK11" s="31"/>
      <c r="NJL11" s="31"/>
      <c r="NJM11" s="31"/>
      <c r="NJN11" s="31"/>
      <c r="NJO11" s="31"/>
      <c r="NJP11" s="31"/>
      <c r="NJQ11" s="31"/>
      <c r="NJR11" s="31"/>
      <c r="NJS11" s="31"/>
      <c r="NJT11" s="31"/>
      <c r="NJU11" s="31"/>
      <c r="NJV11" s="31"/>
      <c r="NJW11" s="31"/>
      <c r="NJX11" s="31"/>
      <c r="NJY11" s="31"/>
      <c r="NJZ11" s="31"/>
      <c r="NKA11" s="31"/>
      <c r="NKB11" s="31"/>
      <c r="NKC11" s="31"/>
      <c r="NKD11" s="31"/>
      <c r="NKE11" s="31"/>
      <c r="NKF11" s="31"/>
      <c r="NKG11" s="31"/>
      <c r="NKH11" s="31"/>
      <c r="NKI11" s="31"/>
      <c r="NKJ11" s="31"/>
      <c r="NKK11" s="31"/>
      <c r="NKL11" s="31"/>
      <c r="NKM11" s="31"/>
      <c r="NKN11" s="31"/>
      <c r="NKO11" s="31"/>
      <c r="NKP11" s="31"/>
      <c r="NKQ11" s="31"/>
      <c r="NKR11" s="31"/>
      <c r="NKS11" s="31"/>
      <c r="NKT11" s="31"/>
      <c r="NKU11" s="31"/>
      <c r="NKV11" s="31"/>
      <c r="NKW11" s="31"/>
      <c r="NKX11" s="31"/>
      <c r="NKY11" s="31"/>
      <c r="NKZ11" s="31"/>
      <c r="NLA11" s="31"/>
      <c r="NLB11" s="31"/>
      <c r="NLC11" s="31"/>
      <c r="NLD11" s="31"/>
      <c r="NLE11" s="31"/>
      <c r="NLF11" s="31"/>
      <c r="NLG11" s="31"/>
      <c r="NLH11" s="31"/>
      <c r="NLI11" s="31"/>
      <c r="NLJ11" s="31"/>
      <c r="NLK11" s="31"/>
      <c r="NLL11" s="31"/>
      <c r="NLM11" s="31"/>
      <c r="NLN11" s="31"/>
      <c r="NLO11" s="31"/>
      <c r="NLP11" s="31"/>
      <c r="NLQ11" s="31"/>
      <c r="NLR11" s="31"/>
      <c r="NLS11" s="31"/>
      <c r="NLT11" s="31"/>
      <c r="NLU11" s="31"/>
      <c r="NLV11" s="31"/>
      <c r="NLW11" s="31"/>
      <c r="NLX11" s="31"/>
      <c r="NLY11" s="31"/>
      <c r="NLZ11" s="31"/>
      <c r="NMA11" s="31"/>
      <c r="NMB11" s="31"/>
      <c r="NMC11" s="31"/>
      <c r="NMD11" s="31"/>
      <c r="NME11" s="31"/>
      <c r="NMF11" s="31"/>
      <c r="NMG11" s="31"/>
      <c r="NMH11" s="31"/>
      <c r="NMI11" s="31"/>
      <c r="NMJ11" s="31"/>
      <c r="NMK11" s="31"/>
      <c r="NML11" s="31"/>
      <c r="NMM11" s="31"/>
      <c r="NMN11" s="31"/>
      <c r="NMO11" s="31"/>
      <c r="NMP11" s="31"/>
      <c r="NMQ11" s="31"/>
      <c r="NMR11" s="31"/>
      <c r="NMS11" s="31"/>
      <c r="NMT11" s="31"/>
      <c r="NMU11" s="31"/>
      <c r="NMV11" s="31"/>
      <c r="NMW11" s="31"/>
      <c r="NMX11" s="31"/>
      <c r="NMY11" s="31"/>
      <c r="NMZ11" s="31"/>
      <c r="NNA11" s="31"/>
      <c r="NNB11" s="31"/>
      <c r="NNC11" s="31"/>
      <c r="NND11" s="31"/>
      <c r="NNE11" s="31"/>
      <c r="NNF11" s="31"/>
      <c r="NNG11" s="31"/>
      <c r="NNH11" s="31"/>
      <c r="NNI11" s="31"/>
      <c r="NNJ11" s="31"/>
      <c r="NNK11" s="31"/>
      <c r="NNL11" s="31"/>
      <c r="NNM11" s="31"/>
      <c r="NNN11" s="31"/>
      <c r="NNO11" s="31"/>
      <c r="NNP11" s="31"/>
      <c r="NNQ11" s="31"/>
      <c r="NNR11" s="31"/>
      <c r="NNS11" s="31"/>
      <c r="NNT11" s="31"/>
      <c r="NNU11" s="31"/>
      <c r="NNV11" s="31"/>
      <c r="NNW11" s="31"/>
      <c r="NNX11" s="31"/>
      <c r="NNY11" s="31"/>
      <c r="NNZ11" s="31"/>
      <c r="NOA11" s="31"/>
      <c r="NOB11" s="31"/>
      <c r="NOC11" s="31"/>
      <c r="NOD11" s="31"/>
      <c r="NOE11" s="31"/>
      <c r="NOF11" s="31"/>
      <c r="NOG11" s="31"/>
      <c r="NOH11" s="31"/>
      <c r="NOI11" s="31"/>
      <c r="NOJ11" s="31"/>
      <c r="NOK11" s="31"/>
      <c r="NOL11" s="31"/>
      <c r="NOM11" s="31"/>
      <c r="NON11" s="31"/>
      <c r="NOO11" s="31"/>
      <c r="NOP11" s="31"/>
      <c r="NOQ11" s="31"/>
      <c r="NOR11" s="31"/>
      <c r="NOS11" s="31"/>
      <c r="NOT11" s="31"/>
      <c r="NOU11" s="31"/>
      <c r="NOV11" s="31"/>
      <c r="NOW11" s="31"/>
      <c r="NOX11" s="31"/>
      <c r="NOY11" s="31"/>
      <c r="NOZ11" s="31"/>
      <c r="NPA11" s="31"/>
      <c r="NPB11" s="31"/>
      <c r="NPC11" s="31"/>
      <c r="NPD11" s="31"/>
      <c r="NPE11" s="31"/>
      <c r="NPF11" s="31"/>
      <c r="NPG11" s="31"/>
      <c r="NPH11" s="31"/>
      <c r="NPI11" s="31"/>
      <c r="NPJ11" s="31"/>
      <c r="NPK11" s="31"/>
      <c r="NPL11" s="31"/>
      <c r="NPM11" s="31"/>
      <c r="NPN11" s="31"/>
      <c r="NPO11" s="31"/>
      <c r="NPP11" s="31"/>
      <c r="NPQ11" s="31"/>
      <c r="NPR11" s="31"/>
      <c r="NPS11" s="31"/>
      <c r="NPT11" s="31"/>
      <c r="NPU11" s="31"/>
      <c r="NPV11" s="31"/>
      <c r="NPW11" s="31"/>
      <c r="NPX11" s="31"/>
      <c r="NPY11" s="31"/>
      <c r="NPZ11" s="31"/>
      <c r="NQA11" s="31"/>
      <c r="NQB11" s="31"/>
      <c r="NQC11" s="31"/>
      <c r="NQD11" s="31"/>
      <c r="NQE11" s="31"/>
      <c r="NQF11" s="31"/>
      <c r="NQG11" s="31"/>
      <c r="NQH11" s="31"/>
      <c r="NQI11" s="31"/>
      <c r="NQJ11" s="31"/>
      <c r="NQK11" s="31"/>
      <c r="NQL11" s="31"/>
      <c r="NQM11" s="31"/>
      <c r="NQN11" s="31"/>
      <c r="NQO11" s="31"/>
      <c r="NQP11" s="31"/>
      <c r="NQQ11" s="31"/>
      <c r="NQR11" s="31"/>
      <c r="NQS11" s="31"/>
      <c r="NQT11" s="31"/>
      <c r="NQU11" s="31"/>
      <c r="NQV11" s="31"/>
      <c r="NQW11" s="31"/>
      <c r="NQX11" s="31"/>
      <c r="NQY11" s="31"/>
      <c r="NQZ11" s="31"/>
      <c r="NRA11" s="31"/>
      <c r="NRB11" s="31"/>
      <c r="NRC11" s="31"/>
      <c r="NRD11" s="31"/>
      <c r="NRE11" s="31"/>
      <c r="NRF11" s="31"/>
      <c r="NRG11" s="31"/>
      <c r="NRH11" s="31"/>
      <c r="NRI11" s="31"/>
      <c r="NRJ11" s="31"/>
      <c r="NRK11" s="31"/>
      <c r="NRL11" s="31"/>
      <c r="NRM11" s="31"/>
      <c r="NRN11" s="31"/>
      <c r="NRO11" s="31"/>
      <c r="NRP11" s="31"/>
      <c r="NRQ11" s="31"/>
      <c r="NRR11" s="31"/>
      <c r="NRS11" s="31"/>
      <c r="NRT11" s="31"/>
      <c r="NRU11" s="31"/>
      <c r="NRV11" s="31"/>
      <c r="NRW11" s="31"/>
      <c r="NRX11" s="31"/>
      <c r="NRY11" s="31"/>
      <c r="NRZ11" s="31"/>
      <c r="NSA11" s="31"/>
      <c r="NSB11" s="31"/>
      <c r="NSC11" s="31"/>
      <c r="NSD11" s="31"/>
      <c r="NSE11" s="31"/>
      <c r="NSF11" s="31"/>
      <c r="NSG11" s="31"/>
      <c r="NSH11" s="31"/>
      <c r="NSI11" s="31"/>
      <c r="NSJ11" s="31"/>
      <c r="NSK11" s="31"/>
      <c r="NSL11" s="31"/>
      <c r="NSM11" s="31"/>
      <c r="NSN11" s="31"/>
      <c r="NSO11" s="31"/>
      <c r="NSP11" s="31"/>
      <c r="NSQ11" s="31"/>
      <c r="NSR11" s="31"/>
      <c r="NSS11" s="31"/>
      <c r="NST11" s="31"/>
      <c r="NSU11" s="31"/>
      <c r="NSV11" s="31"/>
      <c r="NSW11" s="31"/>
      <c r="NSX11" s="31"/>
      <c r="NSY11" s="31"/>
      <c r="NSZ11" s="31"/>
      <c r="NTA11" s="31"/>
      <c r="NTB11" s="31"/>
      <c r="NTC11" s="31"/>
      <c r="NTD11" s="31"/>
      <c r="NTE11" s="31"/>
      <c r="NTF11" s="31"/>
      <c r="NTG11" s="31"/>
      <c r="NTH11" s="31"/>
      <c r="NTI11" s="31"/>
      <c r="NTJ11" s="31"/>
      <c r="NTK11" s="31"/>
      <c r="NTL11" s="31"/>
      <c r="NTM11" s="31"/>
      <c r="NTN11" s="31"/>
      <c r="NTO11" s="31"/>
      <c r="NTP11" s="31"/>
      <c r="NTQ11" s="31"/>
      <c r="NTR11" s="31"/>
      <c r="NTS11" s="31"/>
      <c r="NTT11" s="31"/>
      <c r="NTU11" s="31"/>
      <c r="NTV11" s="31"/>
      <c r="NTW11" s="31"/>
      <c r="NTX11" s="31"/>
      <c r="NTY11" s="31"/>
      <c r="NTZ11" s="31"/>
      <c r="NUA11" s="31"/>
      <c r="NUB11" s="31"/>
      <c r="NUC11" s="31"/>
      <c r="NUD11" s="31"/>
      <c r="NUE11" s="31"/>
      <c r="NUF11" s="31"/>
      <c r="NUG11" s="31"/>
      <c r="NUH11" s="31"/>
      <c r="NUI11" s="31"/>
      <c r="NUJ11" s="31"/>
      <c r="NUK11" s="31"/>
      <c r="NUL11" s="31"/>
      <c r="NUM11" s="31"/>
      <c r="NUN11" s="31"/>
      <c r="NUO11" s="31"/>
      <c r="NUP11" s="31"/>
      <c r="NUQ11" s="31"/>
      <c r="NUR11" s="31"/>
      <c r="NUS11" s="31"/>
      <c r="NUT11" s="31"/>
      <c r="NUU11" s="31"/>
      <c r="NUV11" s="31"/>
      <c r="NUW11" s="31"/>
      <c r="NUX11" s="31"/>
      <c r="NUY11" s="31"/>
      <c r="NUZ11" s="31"/>
      <c r="NVA11" s="31"/>
      <c r="NVB11" s="31"/>
      <c r="NVC11" s="31"/>
      <c r="NVD11" s="31"/>
      <c r="NVE11" s="31"/>
      <c r="NVF11" s="31"/>
      <c r="NVG11" s="31"/>
      <c r="NVH11" s="31"/>
      <c r="NVI11" s="31"/>
      <c r="NVJ11" s="31"/>
      <c r="NVK11" s="31"/>
      <c r="NVL11" s="31"/>
      <c r="NVM11" s="31"/>
      <c r="NVN11" s="31"/>
      <c r="NVO11" s="31"/>
      <c r="NVP11" s="31"/>
      <c r="NVQ11" s="31"/>
      <c r="NVR11" s="31"/>
      <c r="NVS11" s="31"/>
      <c r="NVT11" s="31"/>
      <c r="NVU11" s="31"/>
      <c r="NVV11" s="31"/>
      <c r="NVW11" s="31"/>
      <c r="NVX11" s="31"/>
      <c r="NVY11" s="31"/>
      <c r="NVZ11" s="31"/>
      <c r="NWA11" s="31"/>
      <c r="NWB11" s="31"/>
      <c r="NWC11" s="31"/>
      <c r="NWD11" s="31"/>
      <c r="NWE11" s="31"/>
      <c r="NWF11" s="31"/>
      <c r="NWG11" s="31"/>
      <c r="NWH11" s="31"/>
      <c r="NWI11" s="31"/>
      <c r="NWJ11" s="31"/>
      <c r="NWK11" s="31"/>
      <c r="NWL11" s="31"/>
      <c r="NWM11" s="31"/>
      <c r="NWN11" s="31"/>
      <c r="NWO11" s="31"/>
      <c r="NWP11" s="31"/>
      <c r="NWQ11" s="31"/>
      <c r="NWR11" s="31"/>
      <c r="NWS11" s="31"/>
      <c r="NWT11" s="31"/>
      <c r="NWU11" s="31"/>
      <c r="NWV11" s="31"/>
      <c r="NWW11" s="31"/>
      <c r="NWX11" s="31"/>
      <c r="NWY11" s="31"/>
      <c r="NWZ11" s="31"/>
      <c r="NXA11" s="31"/>
      <c r="NXB11" s="31"/>
      <c r="NXC11" s="31"/>
      <c r="NXD11" s="31"/>
      <c r="NXE11" s="31"/>
      <c r="NXF11" s="31"/>
      <c r="NXG11" s="31"/>
      <c r="NXH11" s="31"/>
      <c r="NXI11" s="31"/>
      <c r="NXJ11" s="31"/>
      <c r="NXK11" s="31"/>
      <c r="NXL11" s="31"/>
      <c r="NXM11" s="31"/>
      <c r="NXN11" s="31"/>
      <c r="NXO11" s="31"/>
      <c r="NXP11" s="31"/>
      <c r="NXQ11" s="31"/>
      <c r="NXR11" s="31"/>
      <c r="NXS11" s="31"/>
      <c r="NXT11" s="31"/>
      <c r="NXU11" s="31"/>
      <c r="NXV11" s="31"/>
      <c r="NXW11" s="31"/>
      <c r="NXX11" s="31"/>
      <c r="NXY11" s="31"/>
      <c r="NXZ11" s="31"/>
      <c r="NYA11" s="31"/>
      <c r="NYB11" s="31"/>
      <c r="NYC11" s="31"/>
      <c r="NYD11" s="31"/>
      <c r="NYE11" s="31"/>
      <c r="NYF11" s="31"/>
      <c r="NYG11" s="31"/>
      <c r="NYH11" s="31"/>
      <c r="NYI11" s="31"/>
      <c r="NYJ11" s="31"/>
      <c r="NYK11" s="31"/>
      <c r="NYL11" s="31"/>
      <c r="NYM11" s="31"/>
      <c r="NYN11" s="31"/>
      <c r="NYO11" s="31"/>
      <c r="NYP11" s="31"/>
      <c r="NYQ11" s="31"/>
      <c r="NYR11" s="31"/>
      <c r="NYS11" s="31"/>
      <c r="NYT11" s="31"/>
      <c r="NYU11" s="31"/>
      <c r="NYV11" s="31"/>
      <c r="NYW11" s="31"/>
      <c r="NYX11" s="31"/>
      <c r="NYY11" s="31"/>
      <c r="NYZ11" s="31"/>
      <c r="NZA11" s="31"/>
      <c r="NZB11" s="31"/>
      <c r="NZC11" s="31"/>
      <c r="NZD11" s="31"/>
      <c r="NZE11" s="31"/>
      <c r="NZF11" s="31"/>
      <c r="NZG11" s="31"/>
      <c r="NZH11" s="31"/>
      <c r="NZI11" s="31"/>
      <c r="NZJ11" s="31"/>
      <c r="NZK11" s="31"/>
      <c r="NZL11" s="31"/>
      <c r="NZM11" s="31"/>
      <c r="NZN11" s="31"/>
      <c r="NZO11" s="31"/>
      <c r="NZP11" s="31"/>
      <c r="NZQ11" s="31"/>
      <c r="NZR11" s="31"/>
      <c r="NZS11" s="31"/>
      <c r="NZT11" s="31"/>
      <c r="NZU11" s="31"/>
      <c r="NZV11" s="31"/>
      <c r="NZW11" s="31"/>
      <c r="NZX11" s="31"/>
      <c r="NZY11" s="31"/>
      <c r="NZZ11" s="31"/>
      <c r="OAA11" s="31"/>
      <c r="OAB11" s="31"/>
      <c r="OAC11" s="31"/>
      <c r="OAD11" s="31"/>
      <c r="OAE11" s="31"/>
      <c r="OAF11" s="31"/>
      <c r="OAG11" s="31"/>
      <c r="OAH11" s="31"/>
      <c r="OAI11" s="31"/>
      <c r="OAJ11" s="31"/>
      <c r="OAK11" s="31"/>
      <c r="OAL11" s="31"/>
      <c r="OAM11" s="31"/>
      <c r="OAN11" s="31"/>
      <c r="OAO11" s="31"/>
      <c r="OAP11" s="31"/>
      <c r="OAQ11" s="31"/>
      <c r="OAR11" s="31"/>
      <c r="OAS11" s="31"/>
      <c r="OAT11" s="31"/>
      <c r="OAU11" s="31"/>
      <c r="OAV11" s="31"/>
      <c r="OAW11" s="31"/>
      <c r="OAX11" s="31"/>
      <c r="OAY11" s="31"/>
      <c r="OAZ11" s="31"/>
      <c r="OBA11" s="31"/>
      <c r="OBB11" s="31"/>
      <c r="OBC11" s="31"/>
      <c r="OBD11" s="31"/>
      <c r="OBE11" s="31"/>
      <c r="OBF11" s="31"/>
      <c r="OBG11" s="31"/>
      <c r="OBH11" s="31"/>
      <c r="OBI11" s="31"/>
      <c r="OBJ11" s="31"/>
      <c r="OBK11" s="31"/>
      <c r="OBL11" s="31"/>
      <c r="OBM11" s="31"/>
      <c r="OBN11" s="31"/>
      <c r="OBO11" s="31"/>
      <c r="OBP11" s="31"/>
      <c r="OBQ11" s="31"/>
      <c r="OBR11" s="31"/>
      <c r="OBS11" s="31"/>
      <c r="OBT11" s="31"/>
      <c r="OBU11" s="31"/>
      <c r="OBV11" s="31"/>
      <c r="OBW11" s="31"/>
      <c r="OBX11" s="31"/>
      <c r="OBY11" s="31"/>
      <c r="OBZ11" s="31"/>
      <c r="OCA11" s="31"/>
      <c r="OCB11" s="31"/>
      <c r="OCC11" s="31"/>
      <c r="OCD11" s="31"/>
      <c r="OCE11" s="31"/>
      <c r="OCF11" s="31"/>
      <c r="OCG11" s="31"/>
      <c r="OCH11" s="31"/>
      <c r="OCI11" s="31"/>
      <c r="OCJ11" s="31"/>
      <c r="OCK11" s="31"/>
      <c r="OCL11" s="31"/>
      <c r="OCM11" s="31"/>
      <c r="OCN11" s="31"/>
      <c r="OCO11" s="31"/>
      <c r="OCP11" s="31"/>
      <c r="OCQ11" s="31"/>
      <c r="OCR11" s="31"/>
      <c r="OCS11" s="31"/>
      <c r="OCT11" s="31"/>
      <c r="OCU11" s="31"/>
      <c r="OCV11" s="31"/>
      <c r="OCW11" s="31"/>
      <c r="OCX11" s="31"/>
      <c r="OCY11" s="31"/>
      <c r="OCZ11" s="31"/>
      <c r="ODA11" s="31"/>
      <c r="ODB11" s="31"/>
      <c r="ODC11" s="31"/>
      <c r="ODD11" s="31"/>
      <c r="ODE11" s="31"/>
      <c r="ODF11" s="31"/>
      <c r="ODG11" s="31"/>
      <c r="ODH11" s="31"/>
      <c r="ODI11" s="31"/>
      <c r="ODJ11" s="31"/>
      <c r="ODK11" s="31"/>
      <c r="ODL11" s="31"/>
      <c r="ODM11" s="31"/>
      <c r="ODN11" s="31"/>
      <c r="ODO11" s="31"/>
      <c r="ODP11" s="31"/>
      <c r="ODQ11" s="31"/>
      <c r="ODR11" s="31"/>
      <c r="ODS11" s="31"/>
      <c r="ODT11" s="31"/>
      <c r="ODU11" s="31"/>
      <c r="ODV11" s="31"/>
      <c r="ODW11" s="31"/>
      <c r="ODX11" s="31"/>
      <c r="ODY11" s="31"/>
      <c r="ODZ11" s="31"/>
      <c r="OEA11" s="31"/>
      <c r="OEB11" s="31"/>
      <c r="OEC11" s="31"/>
      <c r="OED11" s="31"/>
      <c r="OEE11" s="31"/>
      <c r="OEF11" s="31"/>
      <c r="OEG11" s="31"/>
      <c r="OEH11" s="31"/>
      <c r="OEI11" s="31"/>
      <c r="OEJ11" s="31"/>
      <c r="OEK11" s="31"/>
      <c r="OEL11" s="31"/>
      <c r="OEM11" s="31"/>
      <c r="OEN11" s="31"/>
      <c r="OEO11" s="31"/>
      <c r="OEP11" s="31"/>
      <c r="OEQ11" s="31"/>
      <c r="OER11" s="31"/>
      <c r="OES11" s="31"/>
      <c r="OET11" s="31"/>
      <c r="OEU11" s="31"/>
      <c r="OEV11" s="31"/>
      <c r="OEW11" s="31"/>
      <c r="OEX11" s="31"/>
      <c r="OEY11" s="31"/>
      <c r="OEZ11" s="31"/>
      <c r="OFA11" s="31"/>
      <c r="OFB11" s="31"/>
      <c r="OFC11" s="31"/>
      <c r="OFD11" s="31"/>
      <c r="OFE11" s="31"/>
      <c r="OFF11" s="31"/>
      <c r="OFG11" s="31"/>
      <c r="OFH11" s="31"/>
      <c r="OFI11" s="31"/>
      <c r="OFJ11" s="31"/>
      <c r="OFK11" s="31"/>
      <c r="OFL11" s="31"/>
      <c r="OFM11" s="31"/>
      <c r="OFN11" s="31"/>
      <c r="OFO11" s="31"/>
      <c r="OFP11" s="31"/>
      <c r="OFQ11" s="31"/>
      <c r="OFR11" s="31"/>
      <c r="OFS11" s="31"/>
      <c r="OFT11" s="31"/>
      <c r="OFU11" s="31"/>
      <c r="OFV11" s="31"/>
      <c r="OFW11" s="31"/>
      <c r="OFX11" s="31"/>
      <c r="OFY11" s="31"/>
      <c r="OFZ11" s="31"/>
      <c r="OGA11" s="31"/>
      <c r="OGB11" s="31"/>
      <c r="OGC11" s="31"/>
      <c r="OGD11" s="31"/>
      <c r="OGE11" s="31"/>
      <c r="OGF11" s="31"/>
      <c r="OGG11" s="31"/>
      <c r="OGH11" s="31"/>
      <c r="OGI11" s="31"/>
      <c r="OGJ11" s="31"/>
      <c r="OGK11" s="31"/>
      <c r="OGL11" s="31"/>
      <c r="OGM11" s="31"/>
      <c r="OGN11" s="31"/>
      <c r="OGO11" s="31"/>
      <c r="OGP11" s="31"/>
      <c r="OGQ11" s="31"/>
      <c r="OGR11" s="31"/>
      <c r="OGS11" s="31"/>
      <c r="OGT11" s="31"/>
      <c r="OGU11" s="31"/>
      <c r="OGV11" s="31"/>
      <c r="OGW11" s="31"/>
      <c r="OGX11" s="31"/>
      <c r="OGY11" s="31"/>
      <c r="OGZ11" s="31"/>
      <c r="OHA11" s="31"/>
      <c r="OHB11" s="31"/>
      <c r="OHC11" s="31"/>
      <c r="OHD11" s="31"/>
      <c r="OHE11" s="31"/>
      <c r="OHF11" s="31"/>
      <c r="OHG11" s="31"/>
      <c r="OHH11" s="31"/>
      <c r="OHI11" s="31"/>
      <c r="OHJ11" s="31"/>
      <c r="OHK11" s="31"/>
      <c r="OHL11" s="31"/>
      <c r="OHM11" s="31"/>
      <c r="OHN11" s="31"/>
      <c r="OHO11" s="31"/>
      <c r="OHP11" s="31"/>
      <c r="OHQ11" s="31"/>
      <c r="OHR11" s="31"/>
      <c r="OHS11" s="31"/>
      <c r="OHT11" s="31"/>
      <c r="OHU11" s="31"/>
      <c r="OHV11" s="31"/>
      <c r="OHW11" s="31"/>
      <c r="OHX11" s="31"/>
      <c r="OHY11" s="31"/>
      <c r="OHZ11" s="31"/>
      <c r="OIA11" s="31"/>
      <c r="OIB11" s="31"/>
      <c r="OIC11" s="31"/>
      <c r="OID11" s="31"/>
      <c r="OIE11" s="31"/>
      <c r="OIF11" s="31"/>
      <c r="OIG11" s="31"/>
      <c r="OIH11" s="31"/>
      <c r="OII11" s="31"/>
      <c r="OIJ11" s="31"/>
      <c r="OIK11" s="31"/>
      <c r="OIL11" s="31"/>
      <c r="OIM11" s="31"/>
      <c r="OIN11" s="31"/>
      <c r="OIO11" s="31"/>
      <c r="OIP11" s="31"/>
      <c r="OIQ11" s="31"/>
      <c r="OIR11" s="31"/>
      <c r="OIS11" s="31"/>
      <c r="OIT11" s="31"/>
      <c r="OIU11" s="31"/>
      <c r="OIV11" s="31"/>
      <c r="OIW11" s="31"/>
      <c r="OIX11" s="31"/>
      <c r="OIY11" s="31"/>
      <c r="OIZ11" s="31"/>
      <c r="OJA11" s="31"/>
      <c r="OJB11" s="31"/>
      <c r="OJC11" s="31"/>
      <c r="OJD11" s="31"/>
      <c r="OJE11" s="31"/>
      <c r="OJF11" s="31"/>
      <c r="OJG11" s="31"/>
      <c r="OJH11" s="31"/>
      <c r="OJI11" s="31"/>
      <c r="OJJ11" s="31"/>
      <c r="OJK11" s="31"/>
      <c r="OJL11" s="31"/>
      <c r="OJM11" s="31"/>
      <c r="OJN11" s="31"/>
      <c r="OJO11" s="31"/>
      <c r="OJP11" s="31"/>
      <c r="OJQ11" s="31"/>
      <c r="OJR11" s="31"/>
      <c r="OJS11" s="31"/>
      <c r="OJT11" s="31"/>
      <c r="OJU11" s="31"/>
      <c r="OJV11" s="31"/>
      <c r="OJW11" s="31"/>
      <c r="OJX11" s="31"/>
      <c r="OJY11" s="31"/>
      <c r="OJZ11" s="31"/>
      <c r="OKA11" s="31"/>
      <c r="OKB11" s="31"/>
      <c r="OKC11" s="31"/>
      <c r="OKD11" s="31"/>
      <c r="OKE11" s="31"/>
      <c r="OKF11" s="31"/>
      <c r="OKG11" s="31"/>
      <c r="OKH11" s="31"/>
      <c r="OKI11" s="31"/>
      <c r="OKJ11" s="31"/>
      <c r="OKK11" s="31"/>
      <c r="OKL11" s="31"/>
      <c r="OKM11" s="31"/>
      <c r="OKN11" s="31"/>
      <c r="OKO11" s="31"/>
      <c r="OKP11" s="31"/>
      <c r="OKQ11" s="31"/>
      <c r="OKR11" s="31"/>
      <c r="OKS11" s="31"/>
      <c r="OKT11" s="31"/>
      <c r="OKU11" s="31"/>
      <c r="OKV11" s="31"/>
      <c r="OKW11" s="31"/>
      <c r="OKX11" s="31"/>
      <c r="OKY11" s="31"/>
      <c r="OKZ11" s="31"/>
      <c r="OLA11" s="31"/>
      <c r="OLB11" s="31"/>
      <c r="OLC11" s="31"/>
      <c r="OLD11" s="31"/>
      <c r="OLE11" s="31"/>
      <c r="OLF11" s="31"/>
      <c r="OLG11" s="31"/>
      <c r="OLH11" s="31"/>
      <c r="OLI11" s="31"/>
      <c r="OLJ11" s="31"/>
      <c r="OLK11" s="31"/>
      <c r="OLL11" s="31"/>
      <c r="OLM11" s="31"/>
      <c r="OLN11" s="31"/>
      <c r="OLO11" s="31"/>
      <c r="OLP11" s="31"/>
      <c r="OLQ11" s="31"/>
      <c r="OLR11" s="31"/>
      <c r="OLS11" s="31"/>
      <c r="OLT11" s="31"/>
      <c r="OLU11" s="31"/>
      <c r="OLV11" s="31"/>
      <c r="OLW11" s="31"/>
      <c r="OLX11" s="31"/>
      <c r="OLY11" s="31"/>
      <c r="OLZ11" s="31"/>
      <c r="OMA11" s="31"/>
      <c r="OMB11" s="31"/>
      <c r="OMC11" s="31"/>
      <c r="OMD11" s="31"/>
      <c r="OME11" s="31"/>
      <c r="OMF11" s="31"/>
      <c r="OMG11" s="31"/>
      <c r="OMH11" s="31"/>
      <c r="OMI11" s="31"/>
      <c r="OMJ11" s="31"/>
      <c r="OMK11" s="31"/>
      <c r="OML11" s="31"/>
      <c r="OMM11" s="31"/>
      <c r="OMN11" s="31"/>
      <c r="OMO11" s="31"/>
      <c r="OMP11" s="31"/>
      <c r="OMQ11" s="31"/>
      <c r="OMR11" s="31"/>
      <c r="OMS11" s="31"/>
      <c r="OMT11" s="31"/>
      <c r="OMU11" s="31"/>
      <c r="OMV11" s="31"/>
      <c r="OMW11" s="31"/>
      <c r="OMX11" s="31"/>
      <c r="OMY11" s="31"/>
      <c r="OMZ11" s="31"/>
      <c r="ONA11" s="31"/>
      <c r="ONB11" s="31"/>
      <c r="ONC11" s="31"/>
      <c r="OND11" s="31"/>
      <c r="ONE11" s="31"/>
      <c r="ONF11" s="31"/>
      <c r="ONG11" s="31"/>
      <c r="ONH11" s="31"/>
      <c r="ONI11" s="31"/>
      <c r="ONJ11" s="31"/>
      <c r="ONK11" s="31"/>
      <c r="ONL11" s="31"/>
      <c r="ONM11" s="31"/>
      <c r="ONN11" s="31"/>
      <c r="ONO11" s="31"/>
      <c r="ONP11" s="31"/>
      <c r="ONQ11" s="31"/>
      <c r="ONR11" s="31"/>
      <c r="ONS11" s="31"/>
      <c r="ONT11" s="31"/>
      <c r="ONU11" s="31"/>
      <c r="ONV11" s="31"/>
      <c r="ONW11" s="31"/>
      <c r="ONX11" s="31"/>
      <c r="ONY11" s="31"/>
      <c r="ONZ11" s="31"/>
      <c r="OOA11" s="31"/>
      <c r="OOB11" s="31"/>
      <c r="OOC11" s="31"/>
      <c r="OOD11" s="31"/>
      <c r="OOE11" s="31"/>
      <c r="OOF11" s="31"/>
      <c r="OOG11" s="31"/>
      <c r="OOH11" s="31"/>
      <c r="OOI11" s="31"/>
      <c r="OOJ11" s="31"/>
      <c r="OOK11" s="31"/>
      <c r="OOL11" s="31"/>
      <c r="OOM11" s="31"/>
      <c r="OON11" s="31"/>
      <c r="OOO11" s="31"/>
      <c r="OOP11" s="31"/>
      <c r="OOQ11" s="31"/>
      <c r="OOR11" s="31"/>
      <c r="OOS11" s="31"/>
      <c r="OOT11" s="31"/>
      <c r="OOU11" s="31"/>
      <c r="OOV11" s="31"/>
      <c r="OOW11" s="31"/>
      <c r="OOX11" s="31"/>
      <c r="OOY11" s="31"/>
      <c r="OOZ11" s="31"/>
      <c r="OPA11" s="31"/>
      <c r="OPB11" s="31"/>
      <c r="OPC11" s="31"/>
      <c r="OPD11" s="31"/>
      <c r="OPE11" s="31"/>
      <c r="OPF11" s="31"/>
      <c r="OPG11" s="31"/>
      <c r="OPH11" s="31"/>
      <c r="OPI11" s="31"/>
      <c r="OPJ11" s="31"/>
      <c r="OPK11" s="31"/>
      <c r="OPL11" s="31"/>
      <c r="OPM11" s="31"/>
      <c r="OPN11" s="31"/>
      <c r="OPO11" s="31"/>
      <c r="OPP11" s="31"/>
      <c r="OPQ11" s="31"/>
      <c r="OPR11" s="31"/>
      <c r="OPS11" s="31"/>
      <c r="OPT11" s="31"/>
      <c r="OPU11" s="31"/>
      <c r="OPV11" s="31"/>
      <c r="OPW11" s="31"/>
      <c r="OPX11" s="31"/>
      <c r="OPY11" s="31"/>
      <c r="OPZ11" s="31"/>
      <c r="OQA11" s="31"/>
      <c r="OQB11" s="31"/>
      <c r="OQC11" s="31"/>
      <c r="OQD11" s="31"/>
      <c r="OQE11" s="31"/>
      <c r="OQF11" s="31"/>
      <c r="OQG11" s="31"/>
      <c r="OQH11" s="31"/>
      <c r="OQI11" s="31"/>
      <c r="OQJ11" s="31"/>
      <c r="OQK11" s="31"/>
      <c r="OQL11" s="31"/>
      <c r="OQM11" s="31"/>
      <c r="OQN11" s="31"/>
      <c r="OQO11" s="31"/>
      <c r="OQP11" s="31"/>
      <c r="OQQ11" s="31"/>
      <c r="OQR11" s="31"/>
      <c r="OQS11" s="31"/>
      <c r="OQT11" s="31"/>
      <c r="OQU11" s="31"/>
      <c r="OQV11" s="31"/>
      <c r="OQW11" s="31"/>
      <c r="OQX11" s="31"/>
      <c r="OQY11" s="31"/>
      <c r="OQZ11" s="31"/>
      <c r="ORA11" s="31"/>
      <c r="ORB11" s="31"/>
      <c r="ORC11" s="31"/>
      <c r="ORD11" s="31"/>
      <c r="ORE11" s="31"/>
      <c r="ORF11" s="31"/>
      <c r="ORG11" s="31"/>
      <c r="ORH11" s="31"/>
      <c r="ORI11" s="31"/>
      <c r="ORJ11" s="31"/>
      <c r="ORK11" s="31"/>
      <c r="ORL11" s="31"/>
      <c r="ORM11" s="31"/>
      <c r="ORN11" s="31"/>
      <c r="ORO11" s="31"/>
      <c r="ORP11" s="31"/>
      <c r="ORQ11" s="31"/>
      <c r="ORR11" s="31"/>
      <c r="ORS11" s="31"/>
      <c r="ORT11" s="31"/>
      <c r="ORU11" s="31"/>
      <c r="ORV11" s="31"/>
      <c r="ORW11" s="31"/>
      <c r="ORX11" s="31"/>
      <c r="ORY11" s="31"/>
      <c r="ORZ11" s="31"/>
      <c r="OSA11" s="31"/>
      <c r="OSB11" s="31"/>
      <c r="OSC11" s="31"/>
      <c r="OSD11" s="31"/>
      <c r="OSE11" s="31"/>
      <c r="OSF11" s="31"/>
      <c r="OSG11" s="31"/>
      <c r="OSH11" s="31"/>
      <c r="OSI11" s="31"/>
      <c r="OSJ11" s="31"/>
      <c r="OSK11" s="31"/>
      <c r="OSL11" s="31"/>
      <c r="OSM11" s="31"/>
      <c r="OSN11" s="31"/>
      <c r="OSO11" s="31"/>
      <c r="OSP11" s="31"/>
      <c r="OSQ11" s="31"/>
      <c r="OSR11" s="31"/>
      <c r="OSS11" s="31"/>
      <c r="OST11" s="31"/>
      <c r="OSU11" s="31"/>
      <c r="OSV11" s="31"/>
      <c r="OSW11" s="31"/>
      <c r="OSX11" s="31"/>
      <c r="OSY11" s="31"/>
      <c r="OSZ11" s="31"/>
      <c r="OTA11" s="31"/>
      <c r="OTB11" s="31"/>
      <c r="OTC11" s="31"/>
      <c r="OTD11" s="31"/>
      <c r="OTE11" s="31"/>
      <c r="OTF11" s="31"/>
      <c r="OTG11" s="31"/>
      <c r="OTH11" s="31"/>
      <c r="OTI11" s="31"/>
      <c r="OTJ11" s="31"/>
      <c r="OTK11" s="31"/>
      <c r="OTL11" s="31"/>
      <c r="OTM11" s="31"/>
      <c r="OTN11" s="31"/>
      <c r="OTO11" s="31"/>
      <c r="OTP11" s="31"/>
      <c r="OTQ11" s="31"/>
      <c r="OTR11" s="31"/>
      <c r="OTS11" s="31"/>
      <c r="OTT11" s="31"/>
      <c r="OTU11" s="31"/>
      <c r="OTV11" s="31"/>
      <c r="OTW11" s="31"/>
      <c r="OTX11" s="31"/>
      <c r="OTY11" s="31"/>
      <c r="OTZ11" s="31"/>
      <c r="OUA11" s="31"/>
      <c r="OUB11" s="31"/>
      <c r="OUC11" s="31"/>
      <c r="OUD11" s="31"/>
      <c r="OUE11" s="31"/>
      <c r="OUF11" s="31"/>
      <c r="OUG11" s="31"/>
      <c r="OUH11" s="31"/>
      <c r="OUI11" s="31"/>
      <c r="OUJ11" s="31"/>
      <c r="OUK11" s="31"/>
      <c r="OUL11" s="31"/>
      <c r="OUM11" s="31"/>
      <c r="OUN11" s="31"/>
      <c r="OUO11" s="31"/>
      <c r="OUP11" s="31"/>
      <c r="OUQ11" s="31"/>
      <c r="OUR11" s="31"/>
      <c r="OUS11" s="31"/>
      <c r="OUT11" s="31"/>
      <c r="OUU11" s="31"/>
      <c r="OUV11" s="31"/>
      <c r="OUW11" s="31"/>
      <c r="OUX11" s="31"/>
      <c r="OUY11" s="31"/>
      <c r="OUZ11" s="31"/>
      <c r="OVA11" s="31"/>
      <c r="OVB11" s="31"/>
      <c r="OVC11" s="31"/>
      <c r="OVD11" s="31"/>
      <c r="OVE11" s="31"/>
      <c r="OVF11" s="31"/>
      <c r="OVG11" s="31"/>
      <c r="OVH11" s="31"/>
      <c r="OVI11" s="31"/>
      <c r="OVJ11" s="31"/>
      <c r="OVK11" s="31"/>
      <c r="OVL11" s="31"/>
      <c r="OVM11" s="31"/>
      <c r="OVN11" s="31"/>
      <c r="OVO11" s="31"/>
      <c r="OVP11" s="31"/>
      <c r="OVQ11" s="31"/>
      <c r="OVR11" s="31"/>
      <c r="OVS11" s="31"/>
      <c r="OVT11" s="31"/>
      <c r="OVU11" s="31"/>
      <c r="OVV11" s="31"/>
      <c r="OVW11" s="31"/>
      <c r="OVX11" s="31"/>
      <c r="OVY11" s="31"/>
      <c r="OVZ11" s="31"/>
      <c r="OWA11" s="31"/>
      <c r="OWB11" s="31"/>
      <c r="OWC11" s="31"/>
      <c r="OWD11" s="31"/>
      <c r="OWE11" s="31"/>
      <c r="OWF11" s="31"/>
      <c r="OWG11" s="31"/>
      <c r="OWH11" s="31"/>
      <c r="OWI11" s="31"/>
      <c r="OWJ11" s="31"/>
      <c r="OWK11" s="31"/>
      <c r="OWL11" s="31"/>
      <c r="OWM11" s="31"/>
      <c r="OWN11" s="31"/>
      <c r="OWO11" s="31"/>
      <c r="OWP11" s="31"/>
      <c r="OWQ11" s="31"/>
      <c r="OWR11" s="31"/>
      <c r="OWS11" s="31"/>
      <c r="OWT11" s="31"/>
      <c r="OWU11" s="31"/>
      <c r="OWV11" s="31"/>
      <c r="OWW11" s="31"/>
      <c r="OWX11" s="31"/>
      <c r="OWY11" s="31"/>
      <c r="OWZ11" s="31"/>
      <c r="OXA11" s="31"/>
      <c r="OXB11" s="31"/>
      <c r="OXC11" s="31"/>
      <c r="OXD11" s="31"/>
      <c r="OXE11" s="31"/>
      <c r="OXF11" s="31"/>
      <c r="OXG11" s="31"/>
      <c r="OXH11" s="31"/>
      <c r="OXI11" s="31"/>
      <c r="OXJ11" s="31"/>
      <c r="OXK11" s="31"/>
      <c r="OXL11" s="31"/>
      <c r="OXM11" s="31"/>
      <c r="OXN11" s="31"/>
      <c r="OXO11" s="31"/>
      <c r="OXP11" s="31"/>
      <c r="OXQ11" s="31"/>
      <c r="OXR11" s="31"/>
      <c r="OXS11" s="31"/>
      <c r="OXT11" s="31"/>
      <c r="OXU11" s="31"/>
      <c r="OXV11" s="31"/>
      <c r="OXW11" s="31"/>
      <c r="OXX11" s="31"/>
      <c r="OXY11" s="31"/>
      <c r="OXZ11" s="31"/>
      <c r="OYA11" s="31"/>
      <c r="OYB11" s="31"/>
      <c r="OYC11" s="31"/>
      <c r="OYD11" s="31"/>
      <c r="OYE11" s="31"/>
      <c r="OYF11" s="31"/>
      <c r="OYG11" s="31"/>
      <c r="OYH11" s="31"/>
      <c r="OYI11" s="31"/>
      <c r="OYJ11" s="31"/>
      <c r="OYK11" s="31"/>
      <c r="OYL11" s="31"/>
      <c r="OYM11" s="31"/>
      <c r="OYN11" s="31"/>
      <c r="OYO11" s="31"/>
      <c r="OYP11" s="31"/>
      <c r="OYQ11" s="31"/>
      <c r="OYR11" s="31"/>
      <c r="OYS11" s="31"/>
      <c r="OYT11" s="31"/>
      <c r="OYU11" s="31"/>
      <c r="OYV11" s="31"/>
      <c r="OYW11" s="31"/>
      <c r="OYX11" s="31"/>
      <c r="OYY11" s="31"/>
      <c r="OYZ11" s="31"/>
      <c r="OZA11" s="31"/>
      <c r="OZB11" s="31"/>
      <c r="OZC11" s="31"/>
      <c r="OZD11" s="31"/>
      <c r="OZE11" s="31"/>
      <c r="OZF11" s="31"/>
      <c r="OZG11" s="31"/>
      <c r="OZH11" s="31"/>
      <c r="OZI11" s="31"/>
      <c r="OZJ11" s="31"/>
      <c r="OZK11" s="31"/>
      <c r="OZL11" s="31"/>
      <c r="OZM11" s="31"/>
      <c r="OZN11" s="31"/>
      <c r="OZO11" s="31"/>
      <c r="OZP11" s="31"/>
      <c r="OZQ11" s="31"/>
      <c r="OZR11" s="31"/>
      <c r="OZS11" s="31"/>
      <c r="OZT11" s="31"/>
      <c r="OZU11" s="31"/>
      <c r="OZV11" s="31"/>
      <c r="OZW11" s="31"/>
      <c r="OZX11" s="31"/>
      <c r="OZY11" s="31"/>
      <c r="OZZ11" s="31"/>
      <c r="PAA11" s="31"/>
      <c r="PAB11" s="31"/>
      <c r="PAC11" s="31"/>
      <c r="PAD11" s="31"/>
      <c r="PAE11" s="31"/>
      <c r="PAF11" s="31"/>
      <c r="PAG11" s="31"/>
      <c r="PAH11" s="31"/>
      <c r="PAI11" s="31"/>
      <c r="PAJ11" s="31"/>
      <c r="PAK11" s="31"/>
      <c r="PAL11" s="31"/>
      <c r="PAM11" s="31"/>
      <c r="PAN11" s="31"/>
      <c r="PAO11" s="31"/>
      <c r="PAP11" s="31"/>
      <c r="PAQ11" s="31"/>
      <c r="PAR11" s="31"/>
      <c r="PAS11" s="31"/>
      <c r="PAT11" s="31"/>
      <c r="PAU11" s="31"/>
      <c r="PAV11" s="31"/>
      <c r="PAW11" s="31"/>
      <c r="PAX11" s="31"/>
      <c r="PAY11" s="31"/>
      <c r="PAZ11" s="31"/>
      <c r="PBA11" s="31"/>
      <c r="PBB11" s="31"/>
      <c r="PBC11" s="31"/>
      <c r="PBD11" s="31"/>
      <c r="PBE11" s="31"/>
      <c r="PBF11" s="31"/>
      <c r="PBG11" s="31"/>
      <c r="PBH11" s="31"/>
      <c r="PBI11" s="31"/>
      <c r="PBJ11" s="31"/>
      <c r="PBK11" s="31"/>
      <c r="PBL11" s="31"/>
      <c r="PBM11" s="31"/>
      <c r="PBN11" s="31"/>
      <c r="PBO11" s="31"/>
      <c r="PBP11" s="31"/>
      <c r="PBQ11" s="31"/>
      <c r="PBR11" s="31"/>
      <c r="PBS11" s="31"/>
      <c r="PBT11" s="31"/>
      <c r="PBU11" s="31"/>
      <c r="PBV11" s="31"/>
      <c r="PBW11" s="31"/>
      <c r="PBX11" s="31"/>
      <c r="PBY11" s="31"/>
      <c r="PBZ11" s="31"/>
      <c r="PCA11" s="31"/>
      <c r="PCB11" s="31"/>
      <c r="PCC11" s="31"/>
      <c r="PCD11" s="31"/>
      <c r="PCE11" s="31"/>
      <c r="PCF11" s="31"/>
      <c r="PCG11" s="31"/>
      <c r="PCH11" s="31"/>
      <c r="PCI11" s="31"/>
      <c r="PCJ11" s="31"/>
      <c r="PCK11" s="31"/>
      <c r="PCL11" s="31"/>
      <c r="PCM11" s="31"/>
      <c r="PCN11" s="31"/>
      <c r="PCO11" s="31"/>
      <c r="PCP11" s="31"/>
      <c r="PCQ11" s="31"/>
      <c r="PCR11" s="31"/>
      <c r="PCS11" s="31"/>
      <c r="PCT11" s="31"/>
      <c r="PCU11" s="31"/>
      <c r="PCV11" s="31"/>
      <c r="PCW11" s="31"/>
      <c r="PCX11" s="31"/>
      <c r="PCY11" s="31"/>
      <c r="PCZ11" s="31"/>
      <c r="PDA11" s="31"/>
      <c r="PDB11" s="31"/>
      <c r="PDC11" s="31"/>
      <c r="PDD11" s="31"/>
      <c r="PDE11" s="31"/>
      <c r="PDF11" s="31"/>
      <c r="PDG11" s="31"/>
      <c r="PDH11" s="31"/>
      <c r="PDI11" s="31"/>
      <c r="PDJ11" s="31"/>
      <c r="PDK11" s="31"/>
      <c r="PDL11" s="31"/>
      <c r="PDM11" s="31"/>
      <c r="PDN11" s="31"/>
      <c r="PDO11" s="31"/>
      <c r="PDP11" s="31"/>
      <c r="PDQ11" s="31"/>
      <c r="PDR11" s="31"/>
      <c r="PDS11" s="31"/>
      <c r="PDT11" s="31"/>
      <c r="PDU11" s="31"/>
      <c r="PDV11" s="31"/>
      <c r="PDW11" s="31"/>
      <c r="PDX11" s="31"/>
      <c r="PDY11" s="31"/>
      <c r="PDZ11" s="31"/>
      <c r="PEA11" s="31"/>
      <c r="PEB11" s="31"/>
      <c r="PEC11" s="31"/>
      <c r="PED11" s="31"/>
      <c r="PEE11" s="31"/>
      <c r="PEF11" s="31"/>
      <c r="PEG11" s="31"/>
      <c r="PEH11" s="31"/>
      <c r="PEI11" s="31"/>
      <c r="PEJ11" s="31"/>
      <c r="PEK11" s="31"/>
      <c r="PEL11" s="31"/>
      <c r="PEM11" s="31"/>
      <c r="PEN11" s="31"/>
      <c r="PEO11" s="31"/>
      <c r="PEP11" s="31"/>
      <c r="PEQ11" s="31"/>
      <c r="PER11" s="31"/>
      <c r="PES11" s="31"/>
      <c r="PET11" s="31"/>
      <c r="PEU11" s="31"/>
      <c r="PEV11" s="31"/>
      <c r="PEW11" s="31"/>
      <c r="PEX11" s="31"/>
      <c r="PEY11" s="31"/>
      <c r="PEZ11" s="31"/>
      <c r="PFA11" s="31"/>
      <c r="PFB11" s="31"/>
      <c r="PFC11" s="31"/>
      <c r="PFD11" s="31"/>
      <c r="PFE11" s="31"/>
      <c r="PFF11" s="31"/>
      <c r="PFG11" s="31"/>
      <c r="PFH11" s="31"/>
      <c r="PFI11" s="31"/>
      <c r="PFJ11" s="31"/>
      <c r="PFK11" s="31"/>
      <c r="PFL11" s="31"/>
      <c r="PFM11" s="31"/>
      <c r="PFN11" s="31"/>
      <c r="PFO11" s="31"/>
      <c r="PFP11" s="31"/>
      <c r="PFQ11" s="31"/>
      <c r="PFR11" s="31"/>
      <c r="PFS11" s="31"/>
      <c r="PFT11" s="31"/>
      <c r="PFU11" s="31"/>
      <c r="PFV11" s="31"/>
      <c r="PFW11" s="31"/>
      <c r="PFX11" s="31"/>
      <c r="PFY11" s="31"/>
      <c r="PFZ11" s="31"/>
      <c r="PGA11" s="31"/>
      <c r="PGB11" s="31"/>
      <c r="PGC11" s="31"/>
      <c r="PGD11" s="31"/>
      <c r="PGE11" s="31"/>
      <c r="PGF11" s="31"/>
      <c r="PGG11" s="31"/>
      <c r="PGH11" s="31"/>
      <c r="PGI11" s="31"/>
      <c r="PGJ11" s="31"/>
      <c r="PGK11" s="31"/>
      <c r="PGL11" s="31"/>
      <c r="PGM11" s="31"/>
      <c r="PGN11" s="31"/>
      <c r="PGO11" s="31"/>
      <c r="PGP11" s="31"/>
      <c r="PGQ11" s="31"/>
      <c r="PGR11" s="31"/>
      <c r="PGS11" s="31"/>
      <c r="PGT11" s="31"/>
      <c r="PGU11" s="31"/>
      <c r="PGV11" s="31"/>
      <c r="PGW11" s="31"/>
      <c r="PGX11" s="31"/>
      <c r="PGY11" s="31"/>
      <c r="PGZ11" s="31"/>
      <c r="PHA11" s="31"/>
      <c r="PHB11" s="31"/>
      <c r="PHC11" s="31"/>
      <c r="PHD11" s="31"/>
      <c r="PHE11" s="31"/>
      <c r="PHF11" s="31"/>
      <c r="PHG11" s="31"/>
      <c r="PHH11" s="31"/>
      <c r="PHI11" s="31"/>
      <c r="PHJ11" s="31"/>
      <c r="PHK11" s="31"/>
      <c r="PHL11" s="31"/>
      <c r="PHM11" s="31"/>
      <c r="PHN11" s="31"/>
      <c r="PHO11" s="31"/>
      <c r="PHP11" s="31"/>
      <c r="PHQ11" s="31"/>
      <c r="PHR11" s="31"/>
      <c r="PHS11" s="31"/>
      <c r="PHT11" s="31"/>
      <c r="PHU11" s="31"/>
      <c r="PHV11" s="31"/>
      <c r="PHW11" s="31"/>
      <c r="PHX11" s="31"/>
      <c r="PHY11" s="31"/>
      <c r="PHZ11" s="31"/>
      <c r="PIA11" s="31"/>
      <c r="PIB11" s="31"/>
      <c r="PIC11" s="31"/>
      <c r="PID11" s="31"/>
      <c r="PIE11" s="31"/>
      <c r="PIF11" s="31"/>
      <c r="PIG11" s="31"/>
      <c r="PIH11" s="31"/>
      <c r="PII11" s="31"/>
      <c r="PIJ11" s="31"/>
      <c r="PIK11" s="31"/>
      <c r="PIL11" s="31"/>
      <c r="PIM11" s="31"/>
      <c r="PIN11" s="31"/>
      <c r="PIO11" s="31"/>
      <c r="PIP11" s="31"/>
      <c r="PIQ11" s="31"/>
      <c r="PIR11" s="31"/>
      <c r="PIS11" s="31"/>
      <c r="PIT11" s="31"/>
      <c r="PIU11" s="31"/>
      <c r="PIV11" s="31"/>
      <c r="PIW11" s="31"/>
      <c r="PIX11" s="31"/>
      <c r="PIY11" s="31"/>
      <c r="PIZ11" s="31"/>
      <c r="PJA11" s="31"/>
      <c r="PJB11" s="31"/>
      <c r="PJC11" s="31"/>
      <c r="PJD11" s="31"/>
      <c r="PJE11" s="31"/>
      <c r="PJF11" s="31"/>
      <c r="PJG11" s="31"/>
      <c r="PJH11" s="31"/>
      <c r="PJI11" s="31"/>
      <c r="PJJ11" s="31"/>
      <c r="PJK11" s="31"/>
      <c r="PJL11" s="31"/>
      <c r="PJM11" s="31"/>
      <c r="PJN11" s="31"/>
      <c r="PJO11" s="31"/>
      <c r="PJP11" s="31"/>
      <c r="PJQ11" s="31"/>
      <c r="PJR11" s="31"/>
      <c r="PJS11" s="31"/>
      <c r="PJT11" s="31"/>
      <c r="PJU11" s="31"/>
      <c r="PJV11" s="31"/>
      <c r="PJW11" s="31"/>
      <c r="PJX11" s="31"/>
      <c r="PJY11" s="31"/>
      <c r="PJZ11" s="31"/>
      <c r="PKA11" s="31"/>
      <c r="PKB11" s="31"/>
      <c r="PKC11" s="31"/>
      <c r="PKD11" s="31"/>
      <c r="PKE11" s="31"/>
      <c r="PKF11" s="31"/>
      <c r="PKG11" s="31"/>
      <c r="PKH11" s="31"/>
      <c r="PKI11" s="31"/>
      <c r="PKJ11" s="31"/>
      <c r="PKK11" s="31"/>
      <c r="PKL11" s="31"/>
      <c r="PKM11" s="31"/>
      <c r="PKN11" s="31"/>
      <c r="PKO11" s="31"/>
      <c r="PKP11" s="31"/>
      <c r="PKQ11" s="31"/>
      <c r="PKR11" s="31"/>
      <c r="PKS11" s="31"/>
      <c r="PKT11" s="31"/>
      <c r="PKU11" s="31"/>
      <c r="PKV11" s="31"/>
      <c r="PKW11" s="31"/>
      <c r="PKX11" s="31"/>
      <c r="PKY11" s="31"/>
      <c r="PKZ11" s="31"/>
      <c r="PLA11" s="31"/>
      <c r="PLB11" s="31"/>
      <c r="PLC11" s="31"/>
      <c r="PLD11" s="31"/>
      <c r="PLE11" s="31"/>
      <c r="PLF11" s="31"/>
      <c r="PLG11" s="31"/>
      <c r="PLH11" s="31"/>
      <c r="PLI11" s="31"/>
      <c r="PLJ11" s="31"/>
      <c r="PLK11" s="31"/>
      <c r="PLL11" s="31"/>
      <c r="PLM11" s="31"/>
      <c r="PLN11" s="31"/>
      <c r="PLO11" s="31"/>
      <c r="PLP11" s="31"/>
      <c r="PLQ11" s="31"/>
      <c r="PLR11" s="31"/>
      <c r="PLS11" s="31"/>
      <c r="PLT11" s="31"/>
      <c r="PLU11" s="31"/>
      <c r="PLV11" s="31"/>
      <c r="PLW11" s="31"/>
      <c r="PLX11" s="31"/>
      <c r="PLY11" s="31"/>
      <c r="PLZ11" s="31"/>
      <c r="PMA11" s="31"/>
      <c r="PMB11" s="31"/>
      <c r="PMC11" s="31"/>
      <c r="PMD11" s="31"/>
      <c r="PME11" s="31"/>
      <c r="PMF11" s="31"/>
      <c r="PMG11" s="31"/>
      <c r="PMH11" s="31"/>
      <c r="PMI11" s="31"/>
      <c r="PMJ11" s="31"/>
      <c r="PMK11" s="31"/>
      <c r="PML11" s="31"/>
      <c r="PMM11" s="31"/>
      <c r="PMN11" s="31"/>
      <c r="PMO11" s="31"/>
      <c r="PMP11" s="31"/>
      <c r="PMQ11" s="31"/>
      <c r="PMR11" s="31"/>
      <c r="PMS11" s="31"/>
      <c r="PMT11" s="31"/>
      <c r="PMU11" s="31"/>
      <c r="PMV11" s="31"/>
      <c r="PMW11" s="31"/>
      <c r="PMX11" s="31"/>
      <c r="PMY11" s="31"/>
      <c r="PMZ11" s="31"/>
      <c r="PNA11" s="31"/>
      <c r="PNB11" s="31"/>
      <c r="PNC11" s="31"/>
      <c r="PND11" s="31"/>
      <c r="PNE11" s="31"/>
      <c r="PNF11" s="31"/>
      <c r="PNG11" s="31"/>
      <c r="PNH11" s="31"/>
      <c r="PNI11" s="31"/>
      <c r="PNJ11" s="31"/>
      <c r="PNK11" s="31"/>
      <c r="PNL11" s="31"/>
      <c r="PNM11" s="31"/>
      <c r="PNN11" s="31"/>
      <c r="PNO11" s="31"/>
      <c r="PNP11" s="31"/>
      <c r="PNQ11" s="31"/>
      <c r="PNR11" s="31"/>
      <c r="PNS11" s="31"/>
      <c r="PNT11" s="31"/>
      <c r="PNU11" s="31"/>
      <c r="PNV11" s="31"/>
      <c r="PNW11" s="31"/>
      <c r="PNX11" s="31"/>
      <c r="PNY11" s="31"/>
      <c r="PNZ11" s="31"/>
      <c r="POA11" s="31"/>
      <c r="POB11" s="31"/>
      <c r="POC11" s="31"/>
      <c r="POD11" s="31"/>
      <c r="POE11" s="31"/>
      <c r="POF11" s="31"/>
      <c r="POG11" s="31"/>
      <c r="POH11" s="31"/>
      <c r="POI11" s="31"/>
      <c r="POJ11" s="31"/>
      <c r="POK11" s="31"/>
      <c r="POL11" s="31"/>
      <c r="POM11" s="31"/>
      <c r="PON11" s="31"/>
      <c r="POO11" s="31"/>
      <c r="POP11" s="31"/>
      <c r="POQ11" s="31"/>
      <c r="POR11" s="31"/>
      <c r="POS11" s="31"/>
      <c r="POT11" s="31"/>
      <c r="POU11" s="31"/>
      <c r="POV11" s="31"/>
      <c r="POW11" s="31"/>
      <c r="POX11" s="31"/>
      <c r="POY11" s="31"/>
      <c r="POZ11" s="31"/>
      <c r="PPA11" s="31"/>
      <c r="PPB11" s="31"/>
      <c r="PPC11" s="31"/>
      <c r="PPD11" s="31"/>
      <c r="PPE11" s="31"/>
      <c r="PPF11" s="31"/>
      <c r="PPG11" s="31"/>
      <c r="PPH11" s="31"/>
      <c r="PPI11" s="31"/>
      <c r="PPJ11" s="31"/>
      <c r="PPK11" s="31"/>
      <c r="PPL11" s="31"/>
      <c r="PPM11" s="31"/>
      <c r="PPN11" s="31"/>
      <c r="PPO11" s="31"/>
      <c r="PPP11" s="31"/>
      <c r="PPQ11" s="31"/>
      <c r="PPR11" s="31"/>
      <c r="PPS11" s="31"/>
      <c r="PPT11" s="31"/>
      <c r="PPU11" s="31"/>
      <c r="PPV11" s="31"/>
      <c r="PPW11" s="31"/>
      <c r="PPX11" s="31"/>
      <c r="PPY11" s="31"/>
      <c r="PPZ11" s="31"/>
      <c r="PQA11" s="31"/>
      <c r="PQB11" s="31"/>
      <c r="PQC11" s="31"/>
      <c r="PQD11" s="31"/>
      <c r="PQE11" s="31"/>
      <c r="PQF11" s="31"/>
      <c r="PQG11" s="31"/>
      <c r="PQH11" s="31"/>
      <c r="PQI11" s="31"/>
      <c r="PQJ11" s="31"/>
      <c r="PQK11" s="31"/>
      <c r="PQL11" s="31"/>
      <c r="PQM11" s="31"/>
      <c r="PQN11" s="31"/>
      <c r="PQO11" s="31"/>
      <c r="PQP11" s="31"/>
      <c r="PQQ11" s="31"/>
      <c r="PQR11" s="31"/>
      <c r="PQS11" s="31"/>
      <c r="PQT11" s="31"/>
      <c r="PQU11" s="31"/>
      <c r="PQV11" s="31"/>
      <c r="PQW11" s="31"/>
      <c r="PQX11" s="31"/>
      <c r="PQY11" s="31"/>
      <c r="PQZ11" s="31"/>
      <c r="PRA11" s="31"/>
      <c r="PRB11" s="31"/>
      <c r="PRC11" s="31"/>
      <c r="PRD11" s="31"/>
      <c r="PRE11" s="31"/>
      <c r="PRF11" s="31"/>
      <c r="PRG11" s="31"/>
      <c r="PRH11" s="31"/>
      <c r="PRI11" s="31"/>
      <c r="PRJ11" s="31"/>
      <c r="PRK11" s="31"/>
      <c r="PRL11" s="31"/>
      <c r="PRM11" s="31"/>
      <c r="PRN11" s="31"/>
      <c r="PRO11" s="31"/>
      <c r="PRP11" s="31"/>
      <c r="PRQ11" s="31"/>
      <c r="PRR11" s="31"/>
      <c r="PRS11" s="31"/>
      <c r="PRT11" s="31"/>
      <c r="PRU11" s="31"/>
      <c r="PRV11" s="31"/>
      <c r="PRW11" s="31"/>
      <c r="PRX11" s="31"/>
      <c r="PRY11" s="31"/>
      <c r="PRZ11" s="31"/>
      <c r="PSA11" s="31"/>
      <c r="PSB11" s="31"/>
      <c r="PSC11" s="31"/>
      <c r="PSD11" s="31"/>
      <c r="PSE11" s="31"/>
      <c r="PSF11" s="31"/>
      <c r="PSG11" s="31"/>
      <c r="PSH11" s="31"/>
      <c r="PSI11" s="31"/>
      <c r="PSJ11" s="31"/>
      <c r="PSK11" s="31"/>
      <c r="PSL11" s="31"/>
      <c r="PSM11" s="31"/>
      <c r="PSN11" s="31"/>
      <c r="PSO11" s="31"/>
      <c r="PSP11" s="31"/>
      <c r="PSQ11" s="31"/>
      <c r="PSR11" s="31"/>
      <c r="PSS11" s="31"/>
      <c r="PST11" s="31"/>
      <c r="PSU11" s="31"/>
      <c r="PSV11" s="31"/>
      <c r="PSW11" s="31"/>
      <c r="PSX11" s="31"/>
      <c r="PSY11" s="31"/>
      <c r="PSZ11" s="31"/>
      <c r="PTA11" s="31"/>
      <c r="PTB11" s="31"/>
      <c r="PTC11" s="31"/>
      <c r="PTD11" s="31"/>
      <c r="PTE11" s="31"/>
      <c r="PTF11" s="31"/>
      <c r="PTG11" s="31"/>
      <c r="PTH11" s="31"/>
      <c r="PTI11" s="31"/>
      <c r="PTJ11" s="31"/>
      <c r="PTK11" s="31"/>
      <c r="PTL11" s="31"/>
      <c r="PTM11" s="31"/>
      <c r="PTN11" s="31"/>
      <c r="PTO11" s="31"/>
      <c r="PTP11" s="31"/>
      <c r="PTQ11" s="31"/>
      <c r="PTR11" s="31"/>
      <c r="PTS11" s="31"/>
      <c r="PTT11" s="31"/>
      <c r="PTU11" s="31"/>
      <c r="PTV11" s="31"/>
      <c r="PTW11" s="31"/>
      <c r="PTX11" s="31"/>
      <c r="PTY11" s="31"/>
      <c r="PTZ11" s="31"/>
      <c r="PUA11" s="31"/>
      <c r="PUB11" s="31"/>
      <c r="PUC11" s="31"/>
      <c r="PUD11" s="31"/>
      <c r="PUE11" s="31"/>
      <c r="PUF11" s="31"/>
      <c r="PUG11" s="31"/>
      <c r="PUH11" s="31"/>
      <c r="PUI11" s="31"/>
      <c r="PUJ11" s="31"/>
      <c r="PUK11" s="31"/>
      <c r="PUL11" s="31"/>
      <c r="PUM11" s="31"/>
      <c r="PUN11" s="31"/>
      <c r="PUO11" s="31"/>
      <c r="PUP11" s="31"/>
      <c r="PUQ11" s="31"/>
      <c r="PUR11" s="31"/>
      <c r="PUS11" s="31"/>
      <c r="PUT11" s="31"/>
      <c r="PUU11" s="31"/>
      <c r="PUV11" s="31"/>
      <c r="PUW11" s="31"/>
      <c r="PUX11" s="31"/>
      <c r="PUY11" s="31"/>
      <c r="PUZ11" s="31"/>
      <c r="PVA11" s="31"/>
      <c r="PVB11" s="31"/>
      <c r="PVC11" s="31"/>
      <c r="PVD11" s="31"/>
      <c r="PVE11" s="31"/>
      <c r="PVF11" s="31"/>
      <c r="PVG11" s="31"/>
      <c r="PVH11" s="31"/>
      <c r="PVI11" s="31"/>
      <c r="PVJ11" s="31"/>
      <c r="PVK11" s="31"/>
      <c r="PVL11" s="31"/>
      <c r="PVM11" s="31"/>
      <c r="PVN11" s="31"/>
      <c r="PVO11" s="31"/>
      <c r="PVP11" s="31"/>
      <c r="PVQ11" s="31"/>
      <c r="PVR11" s="31"/>
      <c r="PVS11" s="31"/>
      <c r="PVT11" s="31"/>
      <c r="PVU11" s="31"/>
      <c r="PVV11" s="31"/>
      <c r="PVW11" s="31"/>
      <c r="PVX11" s="31"/>
      <c r="PVY11" s="31"/>
      <c r="PVZ11" s="31"/>
      <c r="PWA11" s="31"/>
      <c r="PWB11" s="31"/>
      <c r="PWC11" s="31"/>
      <c r="PWD11" s="31"/>
      <c r="PWE11" s="31"/>
      <c r="PWF11" s="31"/>
      <c r="PWG11" s="31"/>
      <c r="PWH11" s="31"/>
      <c r="PWI11" s="31"/>
      <c r="PWJ11" s="31"/>
      <c r="PWK11" s="31"/>
      <c r="PWL11" s="31"/>
      <c r="PWM11" s="31"/>
      <c r="PWN11" s="31"/>
      <c r="PWO11" s="31"/>
      <c r="PWP11" s="31"/>
      <c r="PWQ11" s="31"/>
      <c r="PWR11" s="31"/>
      <c r="PWS11" s="31"/>
      <c r="PWT11" s="31"/>
      <c r="PWU11" s="31"/>
      <c r="PWV11" s="31"/>
      <c r="PWW11" s="31"/>
      <c r="PWX11" s="31"/>
      <c r="PWY11" s="31"/>
      <c r="PWZ11" s="31"/>
      <c r="PXA11" s="31"/>
      <c r="PXB11" s="31"/>
      <c r="PXC11" s="31"/>
      <c r="PXD11" s="31"/>
      <c r="PXE11" s="31"/>
      <c r="PXF11" s="31"/>
      <c r="PXG11" s="31"/>
      <c r="PXH11" s="31"/>
      <c r="PXI11" s="31"/>
      <c r="PXJ11" s="31"/>
      <c r="PXK11" s="31"/>
      <c r="PXL11" s="31"/>
      <c r="PXM11" s="31"/>
      <c r="PXN11" s="31"/>
      <c r="PXO11" s="31"/>
      <c r="PXP11" s="31"/>
      <c r="PXQ11" s="31"/>
      <c r="PXR11" s="31"/>
      <c r="PXS11" s="31"/>
      <c r="PXT11" s="31"/>
      <c r="PXU11" s="31"/>
      <c r="PXV11" s="31"/>
      <c r="PXW11" s="31"/>
      <c r="PXX11" s="31"/>
      <c r="PXY11" s="31"/>
      <c r="PXZ11" s="31"/>
      <c r="PYA11" s="31"/>
      <c r="PYB11" s="31"/>
      <c r="PYC11" s="31"/>
      <c r="PYD11" s="31"/>
      <c r="PYE11" s="31"/>
      <c r="PYF11" s="31"/>
      <c r="PYG11" s="31"/>
      <c r="PYH11" s="31"/>
      <c r="PYI11" s="31"/>
      <c r="PYJ11" s="31"/>
      <c r="PYK11" s="31"/>
      <c r="PYL11" s="31"/>
      <c r="PYM11" s="31"/>
      <c r="PYN11" s="31"/>
      <c r="PYO11" s="31"/>
      <c r="PYP11" s="31"/>
      <c r="PYQ11" s="31"/>
      <c r="PYR11" s="31"/>
      <c r="PYS11" s="31"/>
      <c r="PYT11" s="31"/>
      <c r="PYU11" s="31"/>
      <c r="PYV11" s="31"/>
      <c r="PYW11" s="31"/>
      <c r="PYX11" s="31"/>
      <c r="PYY11" s="31"/>
      <c r="PYZ11" s="31"/>
      <c r="PZA11" s="31"/>
      <c r="PZB11" s="31"/>
      <c r="PZC11" s="31"/>
      <c r="PZD11" s="31"/>
      <c r="PZE11" s="31"/>
      <c r="PZF11" s="31"/>
      <c r="PZG11" s="31"/>
      <c r="PZH11" s="31"/>
      <c r="PZI11" s="31"/>
      <c r="PZJ11" s="31"/>
      <c r="PZK11" s="31"/>
      <c r="PZL11" s="31"/>
      <c r="PZM11" s="31"/>
      <c r="PZN11" s="31"/>
      <c r="PZO11" s="31"/>
      <c r="PZP11" s="31"/>
      <c r="PZQ11" s="31"/>
      <c r="PZR11" s="31"/>
      <c r="PZS11" s="31"/>
      <c r="PZT11" s="31"/>
      <c r="PZU11" s="31"/>
      <c r="PZV11" s="31"/>
      <c r="PZW11" s="31"/>
      <c r="PZX11" s="31"/>
      <c r="PZY11" s="31"/>
      <c r="PZZ11" s="31"/>
      <c r="QAA11" s="31"/>
      <c r="QAB11" s="31"/>
      <c r="QAC11" s="31"/>
      <c r="QAD11" s="31"/>
      <c r="QAE11" s="31"/>
      <c r="QAF11" s="31"/>
      <c r="QAG11" s="31"/>
      <c r="QAH11" s="31"/>
      <c r="QAI11" s="31"/>
      <c r="QAJ11" s="31"/>
      <c r="QAK11" s="31"/>
      <c r="QAL11" s="31"/>
      <c r="QAM11" s="31"/>
      <c r="QAN11" s="31"/>
      <c r="QAO11" s="31"/>
      <c r="QAP11" s="31"/>
      <c r="QAQ11" s="31"/>
      <c r="QAR11" s="31"/>
      <c r="QAS11" s="31"/>
      <c r="QAT11" s="31"/>
      <c r="QAU11" s="31"/>
      <c r="QAV11" s="31"/>
      <c r="QAW11" s="31"/>
      <c r="QAX11" s="31"/>
      <c r="QAY11" s="31"/>
      <c r="QAZ11" s="31"/>
      <c r="QBA11" s="31"/>
      <c r="QBB11" s="31"/>
      <c r="QBC11" s="31"/>
      <c r="QBD11" s="31"/>
      <c r="QBE11" s="31"/>
      <c r="QBF11" s="31"/>
      <c r="QBG11" s="31"/>
      <c r="QBH11" s="31"/>
      <c r="QBI11" s="31"/>
      <c r="QBJ11" s="31"/>
      <c r="QBK11" s="31"/>
      <c r="QBL11" s="31"/>
      <c r="QBM11" s="31"/>
      <c r="QBN11" s="31"/>
      <c r="QBO11" s="31"/>
      <c r="QBP11" s="31"/>
      <c r="QBQ11" s="31"/>
      <c r="QBR11" s="31"/>
      <c r="QBS11" s="31"/>
      <c r="QBT11" s="31"/>
      <c r="QBU11" s="31"/>
      <c r="QBV11" s="31"/>
      <c r="QBW11" s="31"/>
      <c r="QBX11" s="31"/>
      <c r="QBY11" s="31"/>
      <c r="QBZ11" s="31"/>
      <c r="QCA11" s="31"/>
      <c r="QCB11" s="31"/>
      <c r="QCC11" s="31"/>
      <c r="QCD11" s="31"/>
      <c r="QCE11" s="31"/>
      <c r="QCF11" s="31"/>
      <c r="QCG11" s="31"/>
      <c r="QCH11" s="31"/>
      <c r="QCI11" s="31"/>
      <c r="QCJ11" s="31"/>
      <c r="QCK11" s="31"/>
      <c r="QCL11" s="31"/>
      <c r="QCM11" s="31"/>
      <c r="QCN11" s="31"/>
      <c r="QCO11" s="31"/>
      <c r="QCP11" s="31"/>
      <c r="QCQ11" s="31"/>
      <c r="QCR11" s="31"/>
      <c r="QCS11" s="31"/>
      <c r="QCT11" s="31"/>
      <c r="QCU11" s="31"/>
      <c r="QCV11" s="31"/>
      <c r="QCW11" s="31"/>
      <c r="QCX11" s="31"/>
      <c r="QCY11" s="31"/>
      <c r="QCZ11" s="31"/>
      <c r="QDA11" s="31"/>
      <c r="QDB11" s="31"/>
      <c r="QDC11" s="31"/>
      <c r="QDD11" s="31"/>
      <c r="QDE11" s="31"/>
      <c r="QDF11" s="31"/>
      <c r="QDG11" s="31"/>
      <c r="QDH11" s="31"/>
      <c r="QDI11" s="31"/>
      <c r="QDJ11" s="31"/>
      <c r="QDK11" s="31"/>
      <c r="QDL11" s="31"/>
      <c r="QDM11" s="31"/>
      <c r="QDN11" s="31"/>
      <c r="QDO11" s="31"/>
      <c r="QDP11" s="31"/>
      <c r="QDQ11" s="31"/>
      <c r="QDR11" s="31"/>
      <c r="QDS11" s="31"/>
      <c r="QDT11" s="31"/>
      <c r="QDU11" s="31"/>
      <c r="QDV11" s="31"/>
      <c r="QDW11" s="31"/>
      <c r="QDX11" s="31"/>
      <c r="QDY11" s="31"/>
      <c r="QDZ11" s="31"/>
      <c r="QEA11" s="31"/>
      <c r="QEB11" s="31"/>
      <c r="QEC11" s="31"/>
      <c r="QED11" s="31"/>
      <c r="QEE11" s="31"/>
      <c r="QEF11" s="31"/>
      <c r="QEG11" s="31"/>
      <c r="QEH11" s="31"/>
      <c r="QEI11" s="31"/>
      <c r="QEJ11" s="31"/>
      <c r="QEK11" s="31"/>
      <c r="QEL11" s="31"/>
      <c r="QEM11" s="31"/>
      <c r="QEN11" s="31"/>
      <c r="QEO11" s="31"/>
      <c r="QEP11" s="31"/>
      <c r="QEQ11" s="31"/>
      <c r="QER11" s="31"/>
      <c r="QES11" s="31"/>
      <c r="QET11" s="31"/>
      <c r="QEU11" s="31"/>
      <c r="QEV11" s="31"/>
      <c r="QEW11" s="31"/>
      <c r="QEX11" s="31"/>
      <c r="QEY11" s="31"/>
      <c r="QEZ11" s="31"/>
      <c r="QFA11" s="31"/>
      <c r="QFB11" s="31"/>
      <c r="QFC11" s="31"/>
      <c r="QFD11" s="31"/>
      <c r="QFE11" s="31"/>
      <c r="QFF11" s="31"/>
      <c r="QFG11" s="31"/>
      <c r="QFH11" s="31"/>
      <c r="QFI11" s="31"/>
      <c r="QFJ11" s="31"/>
      <c r="QFK11" s="31"/>
      <c r="QFL11" s="31"/>
      <c r="QFM11" s="31"/>
      <c r="QFN11" s="31"/>
      <c r="QFO11" s="31"/>
      <c r="QFP11" s="31"/>
      <c r="QFQ11" s="31"/>
      <c r="QFR11" s="31"/>
      <c r="QFS11" s="31"/>
      <c r="QFT11" s="31"/>
      <c r="QFU11" s="31"/>
      <c r="QFV11" s="31"/>
      <c r="QFW11" s="31"/>
      <c r="QFX11" s="31"/>
      <c r="QFY11" s="31"/>
      <c r="QFZ11" s="31"/>
      <c r="QGA11" s="31"/>
      <c r="QGB11" s="31"/>
      <c r="QGC11" s="31"/>
      <c r="QGD11" s="31"/>
      <c r="QGE11" s="31"/>
      <c r="QGF11" s="31"/>
      <c r="QGG11" s="31"/>
      <c r="QGH11" s="31"/>
      <c r="QGI11" s="31"/>
      <c r="QGJ11" s="31"/>
      <c r="QGK11" s="31"/>
      <c r="QGL11" s="31"/>
      <c r="QGM11" s="31"/>
      <c r="QGN11" s="31"/>
      <c r="QGO11" s="31"/>
      <c r="QGP11" s="31"/>
      <c r="QGQ11" s="31"/>
      <c r="QGR11" s="31"/>
      <c r="QGS11" s="31"/>
      <c r="QGT11" s="31"/>
      <c r="QGU11" s="31"/>
      <c r="QGV11" s="31"/>
      <c r="QGW11" s="31"/>
      <c r="QGX11" s="31"/>
      <c r="QGY11" s="31"/>
      <c r="QGZ11" s="31"/>
      <c r="QHA11" s="31"/>
      <c r="QHB11" s="31"/>
      <c r="QHC11" s="31"/>
      <c r="QHD11" s="31"/>
      <c r="QHE11" s="31"/>
      <c r="QHF11" s="31"/>
      <c r="QHG11" s="31"/>
      <c r="QHH11" s="31"/>
      <c r="QHI11" s="31"/>
      <c r="QHJ11" s="31"/>
      <c r="QHK11" s="31"/>
      <c r="QHL11" s="31"/>
      <c r="QHM11" s="31"/>
      <c r="QHN11" s="31"/>
      <c r="QHO11" s="31"/>
      <c r="QHP11" s="31"/>
      <c r="QHQ11" s="31"/>
      <c r="QHR11" s="31"/>
      <c r="QHS11" s="31"/>
      <c r="QHT11" s="31"/>
      <c r="QHU11" s="31"/>
      <c r="QHV11" s="31"/>
      <c r="QHW11" s="31"/>
      <c r="QHX11" s="31"/>
      <c r="QHY11" s="31"/>
      <c r="QHZ11" s="31"/>
      <c r="QIA11" s="31"/>
      <c r="QIB11" s="31"/>
      <c r="QIC11" s="31"/>
      <c r="QID11" s="31"/>
      <c r="QIE11" s="31"/>
      <c r="QIF11" s="31"/>
      <c r="QIG11" s="31"/>
      <c r="QIH11" s="31"/>
      <c r="QII11" s="31"/>
      <c r="QIJ11" s="31"/>
      <c r="QIK11" s="31"/>
      <c r="QIL11" s="31"/>
      <c r="QIM11" s="31"/>
      <c r="QIN11" s="31"/>
      <c r="QIO11" s="31"/>
      <c r="QIP11" s="31"/>
      <c r="QIQ11" s="31"/>
      <c r="QIR11" s="31"/>
      <c r="QIS11" s="31"/>
      <c r="QIT11" s="31"/>
      <c r="QIU11" s="31"/>
      <c r="QIV11" s="31"/>
      <c r="QIW11" s="31"/>
      <c r="QIX11" s="31"/>
      <c r="QIY11" s="31"/>
      <c r="QIZ11" s="31"/>
      <c r="QJA11" s="31"/>
      <c r="QJB11" s="31"/>
      <c r="QJC11" s="31"/>
      <c r="QJD11" s="31"/>
      <c r="QJE11" s="31"/>
      <c r="QJF11" s="31"/>
      <c r="QJG11" s="31"/>
      <c r="QJH11" s="31"/>
      <c r="QJI11" s="31"/>
      <c r="QJJ11" s="31"/>
      <c r="QJK11" s="31"/>
      <c r="QJL11" s="31"/>
      <c r="QJM11" s="31"/>
      <c r="QJN11" s="31"/>
      <c r="QJO11" s="31"/>
      <c r="QJP11" s="31"/>
      <c r="QJQ11" s="31"/>
      <c r="QJR11" s="31"/>
      <c r="QJS11" s="31"/>
      <c r="QJT11" s="31"/>
      <c r="QJU11" s="31"/>
      <c r="QJV11" s="31"/>
      <c r="QJW11" s="31"/>
      <c r="QJX11" s="31"/>
      <c r="QJY11" s="31"/>
      <c r="QJZ11" s="31"/>
      <c r="QKA11" s="31"/>
      <c r="QKB11" s="31"/>
      <c r="QKC11" s="31"/>
      <c r="QKD11" s="31"/>
      <c r="QKE11" s="31"/>
      <c r="QKF11" s="31"/>
      <c r="QKG11" s="31"/>
      <c r="QKH11" s="31"/>
      <c r="QKI11" s="31"/>
      <c r="QKJ11" s="31"/>
      <c r="QKK11" s="31"/>
      <c r="QKL11" s="31"/>
      <c r="QKM11" s="31"/>
      <c r="QKN11" s="31"/>
      <c r="QKO11" s="31"/>
      <c r="QKP11" s="31"/>
      <c r="QKQ11" s="31"/>
      <c r="QKR11" s="31"/>
      <c r="QKS11" s="31"/>
      <c r="QKT11" s="31"/>
      <c r="QKU11" s="31"/>
      <c r="QKV11" s="31"/>
      <c r="QKW11" s="31"/>
      <c r="QKX11" s="31"/>
      <c r="QKY11" s="31"/>
      <c r="QKZ11" s="31"/>
      <c r="QLA11" s="31"/>
      <c r="QLB11" s="31"/>
      <c r="QLC11" s="31"/>
      <c r="QLD11" s="31"/>
      <c r="QLE11" s="31"/>
      <c r="QLF11" s="31"/>
      <c r="QLG11" s="31"/>
      <c r="QLH11" s="31"/>
      <c r="QLI11" s="31"/>
      <c r="QLJ11" s="31"/>
      <c r="QLK11" s="31"/>
      <c r="QLL11" s="31"/>
      <c r="QLM11" s="31"/>
      <c r="QLN11" s="31"/>
      <c r="QLO11" s="31"/>
      <c r="QLP11" s="31"/>
      <c r="QLQ11" s="31"/>
      <c r="QLR11" s="31"/>
      <c r="QLS11" s="31"/>
      <c r="QLT11" s="31"/>
      <c r="QLU11" s="31"/>
      <c r="QLV11" s="31"/>
      <c r="QLW11" s="31"/>
      <c r="QLX11" s="31"/>
      <c r="QLY11" s="31"/>
      <c r="QLZ11" s="31"/>
      <c r="QMA11" s="31"/>
      <c r="QMB11" s="31"/>
      <c r="QMC11" s="31"/>
      <c r="QMD11" s="31"/>
      <c r="QME11" s="31"/>
      <c r="QMF11" s="31"/>
      <c r="QMG11" s="31"/>
      <c r="QMH11" s="31"/>
      <c r="QMI11" s="31"/>
      <c r="QMJ11" s="31"/>
      <c r="QMK11" s="31"/>
      <c r="QML11" s="31"/>
      <c r="QMM11" s="31"/>
      <c r="QMN11" s="31"/>
      <c r="QMO11" s="31"/>
      <c r="QMP11" s="31"/>
      <c r="QMQ11" s="31"/>
      <c r="QMR11" s="31"/>
      <c r="QMS11" s="31"/>
      <c r="QMT11" s="31"/>
      <c r="QMU11" s="31"/>
      <c r="QMV11" s="31"/>
      <c r="QMW11" s="31"/>
      <c r="QMX11" s="31"/>
      <c r="QMY11" s="31"/>
      <c r="QMZ11" s="31"/>
      <c r="QNA11" s="31"/>
      <c r="QNB11" s="31"/>
      <c r="QNC11" s="31"/>
      <c r="QND11" s="31"/>
      <c r="QNE11" s="31"/>
      <c r="QNF11" s="31"/>
      <c r="QNG11" s="31"/>
      <c r="QNH11" s="31"/>
      <c r="QNI11" s="31"/>
      <c r="QNJ11" s="31"/>
      <c r="QNK11" s="31"/>
      <c r="QNL11" s="31"/>
      <c r="QNM11" s="31"/>
      <c r="QNN11" s="31"/>
      <c r="QNO11" s="31"/>
      <c r="QNP11" s="31"/>
      <c r="QNQ11" s="31"/>
      <c r="QNR11" s="31"/>
      <c r="QNS11" s="31"/>
      <c r="QNT11" s="31"/>
      <c r="QNU11" s="31"/>
      <c r="QNV11" s="31"/>
      <c r="QNW11" s="31"/>
      <c r="QNX11" s="31"/>
      <c r="QNY11" s="31"/>
      <c r="QNZ11" s="31"/>
      <c r="QOA11" s="31"/>
      <c r="QOB11" s="31"/>
      <c r="QOC11" s="31"/>
      <c r="QOD11" s="31"/>
      <c r="QOE11" s="31"/>
      <c r="QOF11" s="31"/>
      <c r="QOG11" s="31"/>
      <c r="QOH11" s="31"/>
      <c r="QOI11" s="31"/>
      <c r="QOJ11" s="31"/>
      <c r="QOK11" s="31"/>
      <c r="QOL11" s="31"/>
      <c r="QOM11" s="31"/>
      <c r="QON11" s="31"/>
      <c r="QOO11" s="31"/>
      <c r="QOP11" s="31"/>
      <c r="QOQ11" s="31"/>
      <c r="QOR11" s="31"/>
      <c r="QOS11" s="31"/>
      <c r="QOT11" s="31"/>
      <c r="QOU11" s="31"/>
      <c r="QOV11" s="31"/>
      <c r="QOW11" s="31"/>
      <c r="QOX11" s="31"/>
      <c r="QOY11" s="31"/>
      <c r="QOZ11" s="31"/>
      <c r="QPA11" s="31"/>
      <c r="QPB11" s="31"/>
      <c r="QPC11" s="31"/>
      <c r="QPD11" s="31"/>
      <c r="QPE11" s="31"/>
      <c r="QPF11" s="31"/>
      <c r="QPG11" s="31"/>
      <c r="QPH11" s="31"/>
      <c r="QPI11" s="31"/>
      <c r="QPJ11" s="31"/>
      <c r="QPK11" s="31"/>
      <c r="QPL11" s="31"/>
      <c r="QPM11" s="31"/>
      <c r="QPN11" s="31"/>
      <c r="QPO11" s="31"/>
      <c r="QPP11" s="31"/>
      <c r="QPQ11" s="31"/>
      <c r="QPR11" s="31"/>
      <c r="QPS11" s="31"/>
      <c r="QPT11" s="31"/>
      <c r="QPU11" s="31"/>
      <c r="QPV11" s="31"/>
      <c r="QPW11" s="31"/>
      <c r="QPX11" s="31"/>
      <c r="QPY11" s="31"/>
      <c r="QPZ11" s="31"/>
      <c r="QQA11" s="31"/>
      <c r="QQB11" s="31"/>
      <c r="QQC11" s="31"/>
      <c r="QQD11" s="31"/>
      <c r="QQE11" s="31"/>
      <c r="QQF11" s="31"/>
      <c r="QQG11" s="31"/>
      <c r="QQH11" s="31"/>
      <c r="QQI11" s="31"/>
      <c r="QQJ11" s="31"/>
      <c r="QQK11" s="31"/>
      <c r="QQL11" s="31"/>
      <c r="QQM11" s="31"/>
      <c r="QQN11" s="31"/>
      <c r="QQO11" s="31"/>
      <c r="QQP11" s="31"/>
      <c r="QQQ11" s="31"/>
      <c r="QQR11" s="31"/>
      <c r="QQS11" s="31"/>
      <c r="QQT11" s="31"/>
      <c r="QQU11" s="31"/>
      <c r="QQV11" s="31"/>
      <c r="QQW11" s="31"/>
      <c r="QQX11" s="31"/>
      <c r="QQY11" s="31"/>
      <c r="QQZ11" s="31"/>
      <c r="QRA11" s="31"/>
      <c r="QRB11" s="31"/>
      <c r="QRC11" s="31"/>
      <c r="QRD11" s="31"/>
      <c r="QRE11" s="31"/>
      <c r="QRF11" s="31"/>
      <c r="QRG11" s="31"/>
      <c r="QRH11" s="31"/>
      <c r="QRI11" s="31"/>
      <c r="QRJ11" s="31"/>
      <c r="QRK11" s="31"/>
      <c r="QRL11" s="31"/>
      <c r="QRM11" s="31"/>
      <c r="QRN11" s="31"/>
      <c r="QRO11" s="31"/>
      <c r="QRP11" s="31"/>
      <c r="QRQ11" s="31"/>
      <c r="QRR11" s="31"/>
      <c r="QRS11" s="31"/>
      <c r="QRT11" s="31"/>
      <c r="QRU11" s="31"/>
      <c r="QRV11" s="31"/>
      <c r="QRW11" s="31"/>
      <c r="QRX11" s="31"/>
      <c r="QRY11" s="31"/>
      <c r="QRZ11" s="31"/>
      <c r="QSA11" s="31"/>
      <c r="QSB11" s="31"/>
      <c r="QSC11" s="31"/>
      <c r="QSD11" s="31"/>
      <c r="QSE11" s="31"/>
      <c r="QSF11" s="31"/>
      <c r="QSG11" s="31"/>
      <c r="QSH11" s="31"/>
      <c r="QSI11" s="31"/>
      <c r="QSJ11" s="31"/>
      <c r="QSK11" s="31"/>
      <c r="QSL11" s="31"/>
      <c r="QSM11" s="31"/>
      <c r="QSN11" s="31"/>
      <c r="QSO11" s="31"/>
      <c r="QSP11" s="31"/>
      <c r="QSQ11" s="31"/>
      <c r="QSR11" s="31"/>
      <c r="QSS11" s="31"/>
      <c r="QST11" s="31"/>
      <c r="QSU11" s="31"/>
      <c r="QSV11" s="31"/>
      <c r="QSW11" s="31"/>
      <c r="QSX11" s="31"/>
      <c r="QSY11" s="31"/>
      <c r="QSZ11" s="31"/>
      <c r="QTA11" s="31"/>
      <c r="QTB11" s="31"/>
      <c r="QTC11" s="31"/>
      <c r="QTD11" s="31"/>
      <c r="QTE11" s="31"/>
      <c r="QTF11" s="31"/>
      <c r="QTG11" s="31"/>
      <c r="QTH11" s="31"/>
      <c r="QTI11" s="31"/>
      <c r="QTJ11" s="31"/>
      <c r="QTK11" s="31"/>
      <c r="QTL11" s="31"/>
      <c r="QTM11" s="31"/>
      <c r="QTN11" s="31"/>
      <c r="QTO11" s="31"/>
      <c r="QTP11" s="31"/>
      <c r="QTQ11" s="31"/>
      <c r="QTR11" s="31"/>
      <c r="QTS11" s="31"/>
      <c r="QTT11" s="31"/>
      <c r="QTU11" s="31"/>
      <c r="QTV11" s="31"/>
      <c r="QTW11" s="31"/>
      <c r="QTX11" s="31"/>
      <c r="QTY11" s="31"/>
      <c r="QTZ11" s="31"/>
      <c r="QUA11" s="31"/>
      <c r="QUB11" s="31"/>
      <c r="QUC11" s="31"/>
      <c r="QUD11" s="31"/>
      <c r="QUE11" s="31"/>
      <c r="QUF11" s="31"/>
      <c r="QUG11" s="31"/>
      <c r="QUH11" s="31"/>
      <c r="QUI11" s="31"/>
      <c r="QUJ11" s="31"/>
      <c r="QUK11" s="31"/>
      <c r="QUL11" s="31"/>
      <c r="QUM11" s="31"/>
      <c r="QUN11" s="31"/>
      <c r="QUO11" s="31"/>
      <c r="QUP11" s="31"/>
      <c r="QUQ11" s="31"/>
      <c r="QUR11" s="31"/>
      <c r="QUS11" s="31"/>
      <c r="QUT11" s="31"/>
      <c r="QUU11" s="31"/>
      <c r="QUV11" s="31"/>
      <c r="QUW11" s="31"/>
      <c r="QUX11" s="31"/>
      <c r="QUY11" s="31"/>
      <c r="QUZ11" s="31"/>
      <c r="QVA11" s="31"/>
      <c r="QVB11" s="31"/>
      <c r="QVC11" s="31"/>
      <c r="QVD11" s="31"/>
      <c r="QVE11" s="31"/>
      <c r="QVF11" s="31"/>
      <c r="QVG11" s="31"/>
      <c r="QVH11" s="31"/>
      <c r="QVI11" s="31"/>
      <c r="QVJ11" s="31"/>
      <c r="QVK11" s="31"/>
      <c r="QVL11" s="31"/>
      <c r="QVM11" s="31"/>
      <c r="QVN11" s="31"/>
      <c r="QVO11" s="31"/>
      <c r="QVP11" s="31"/>
      <c r="QVQ11" s="31"/>
      <c r="QVR11" s="31"/>
      <c r="QVS11" s="31"/>
      <c r="QVT11" s="31"/>
      <c r="QVU11" s="31"/>
      <c r="QVV11" s="31"/>
      <c r="QVW11" s="31"/>
      <c r="QVX11" s="31"/>
      <c r="QVY11" s="31"/>
      <c r="QVZ11" s="31"/>
      <c r="QWA11" s="31"/>
      <c r="QWB11" s="31"/>
      <c r="QWC11" s="31"/>
      <c r="QWD11" s="31"/>
      <c r="QWE11" s="31"/>
      <c r="QWF11" s="31"/>
      <c r="QWG11" s="31"/>
      <c r="QWH11" s="31"/>
      <c r="QWI11" s="31"/>
      <c r="QWJ11" s="31"/>
      <c r="QWK11" s="31"/>
      <c r="QWL11" s="31"/>
      <c r="QWM11" s="31"/>
      <c r="QWN11" s="31"/>
      <c r="QWO11" s="31"/>
      <c r="QWP11" s="31"/>
      <c r="QWQ11" s="31"/>
      <c r="QWR11" s="31"/>
      <c r="QWS11" s="31"/>
      <c r="QWT11" s="31"/>
      <c r="QWU11" s="31"/>
      <c r="QWV11" s="31"/>
      <c r="QWW11" s="31"/>
      <c r="QWX11" s="31"/>
      <c r="QWY11" s="31"/>
      <c r="QWZ11" s="31"/>
      <c r="QXA11" s="31"/>
      <c r="QXB11" s="31"/>
      <c r="QXC11" s="31"/>
      <c r="QXD11" s="31"/>
      <c r="QXE11" s="31"/>
      <c r="QXF11" s="31"/>
      <c r="QXG11" s="31"/>
      <c r="QXH11" s="31"/>
      <c r="QXI11" s="31"/>
      <c r="QXJ11" s="31"/>
      <c r="QXK11" s="31"/>
      <c r="QXL11" s="31"/>
      <c r="QXM11" s="31"/>
      <c r="QXN11" s="31"/>
      <c r="QXO11" s="31"/>
      <c r="QXP11" s="31"/>
      <c r="QXQ11" s="31"/>
      <c r="QXR11" s="31"/>
      <c r="QXS11" s="31"/>
      <c r="QXT11" s="31"/>
      <c r="QXU11" s="31"/>
      <c r="QXV11" s="31"/>
      <c r="QXW11" s="31"/>
      <c r="QXX11" s="31"/>
      <c r="QXY11" s="31"/>
      <c r="QXZ11" s="31"/>
      <c r="QYA11" s="31"/>
      <c r="QYB11" s="31"/>
      <c r="QYC11" s="31"/>
      <c r="QYD11" s="31"/>
      <c r="QYE11" s="31"/>
      <c r="QYF11" s="31"/>
      <c r="QYG11" s="31"/>
      <c r="QYH11" s="31"/>
      <c r="QYI11" s="31"/>
      <c r="QYJ11" s="31"/>
      <c r="QYK11" s="31"/>
      <c r="QYL11" s="31"/>
      <c r="QYM11" s="31"/>
      <c r="QYN11" s="31"/>
      <c r="QYO11" s="31"/>
      <c r="QYP11" s="31"/>
      <c r="QYQ11" s="31"/>
      <c r="QYR11" s="31"/>
      <c r="QYS11" s="31"/>
      <c r="QYT11" s="31"/>
      <c r="QYU11" s="31"/>
      <c r="QYV11" s="31"/>
      <c r="QYW11" s="31"/>
      <c r="QYX11" s="31"/>
      <c r="QYY11" s="31"/>
      <c r="QYZ11" s="31"/>
      <c r="QZA11" s="31"/>
      <c r="QZB11" s="31"/>
      <c r="QZC11" s="31"/>
      <c r="QZD11" s="31"/>
      <c r="QZE11" s="31"/>
      <c r="QZF11" s="31"/>
      <c r="QZG11" s="31"/>
      <c r="QZH11" s="31"/>
      <c r="QZI11" s="31"/>
      <c r="QZJ11" s="31"/>
      <c r="QZK11" s="31"/>
      <c r="QZL11" s="31"/>
      <c r="QZM11" s="31"/>
      <c r="QZN11" s="31"/>
      <c r="QZO11" s="31"/>
      <c r="QZP11" s="31"/>
      <c r="QZQ11" s="31"/>
      <c r="QZR11" s="31"/>
      <c r="QZS11" s="31"/>
      <c r="QZT11" s="31"/>
      <c r="QZU11" s="31"/>
      <c r="QZV11" s="31"/>
      <c r="QZW11" s="31"/>
      <c r="QZX11" s="31"/>
      <c r="QZY11" s="31"/>
      <c r="QZZ11" s="31"/>
      <c r="RAA11" s="31"/>
      <c r="RAB11" s="31"/>
      <c r="RAC11" s="31"/>
      <c r="RAD11" s="31"/>
      <c r="RAE11" s="31"/>
      <c r="RAF11" s="31"/>
      <c r="RAG11" s="31"/>
      <c r="RAH11" s="31"/>
      <c r="RAI11" s="31"/>
      <c r="RAJ11" s="31"/>
      <c r="RAK11" s="31"/>
      <c r="RAL11" s="31"/>
      <c r="RAM11" s="31"/>
      <c r="RAN11" s="31"/>
      <c r="RAO11" s="31"/>
      <c r="RAP11" s="31"/>
      <c r="RAQ11" s="31"/>
      <c r="RAR11" s="31"/>
      <c r="RAS11" s="31"/>
      <c r="RAT11" s="31"/>
      <c r="RAU11" s="31"/>
      <c r="RAV11" s="31"/>
      <c r="RAW11" s="31"/>
      <c r="RAX11" s="31"/>
      <c r="RAY11" s="31"/>
      <c r="RAZ11" s="31"/>
      <c r="RBA11" s="31"/>
      <c r="RBB11" s="31"/>
      <c r="RBC11" s="31"/>
      <c r="RBD11" s="31"/>
      <c r="RBE11" s="31"/>
      <c r="RBF11" s="31"/>
      <c r="RBG11" s="31"/>
      <c r="RBH11" s="31"/>
      <c r="RBI11" s="31"/>
      <c r="RBJ11" s="31"/>
      <c r="RBK11" s="31"/>
      <c r="RBL11" s="31"/>
      <c r="RBM11" s="31"/>
      <c r="RBN11" s="31"/>
      <c r="RBO11" s="31"/>
      <c r="RBP11" s="31"/>
      <c r="RBQ11" s="31"/>
      <c r="RBR11" s="31"/>
      <c r="RBS11" s="31"/>
      <c r="RBT11" s="31"/>
      <c r="RBU11" s="31"/>
      <c r="RBV11" s="31"/>
      <c r="RBW11" s="31"/>
      <c r="RBX11" s="31"/>
      <c r="RBY11" s="31"/>
      <c r="RBZ11" s="31"/>
      <c r="RCA11" s="31"/>
      <c r="RCB11" s="31"/>
      <c r="RCC11" s="31"/>
      <c r="RCD11" s="31"/>
      <c r="RCE11" s="31"/>
      <c r="RCF11" s="31"/>
      <c r="RCG11" s="31"/>
      <c r="RCH11" s="31"/>
      <c r="RCI11" s="31"/>
      <c r="RCJ11" s="31"/>
      <c r="RCK11" s="31"/>
      <c r="RCL11" s="31"/>
      <c r="RCM11" s="31"/>
      <c r="RCN11" s="31"/>
      <c r="RCO11" s="31"/>
      <c r="RCP11" s="31"/>
      <c r="RCQ11" s="31"/>
      <c r="RCR11" s="31"/>
      <c r="RCS11" s="31"/>
      <c r="RCT11" s="31"/>
      <c r="RCU11" s="31"/>
      <c r="RCV11" s="31"/>
      <c r="RCW11" s="31"/>
      <c r="RCX11" s="31"/>
      <c r="RCY11" s="31"/>
      <c r="RCZ11" s="31"/>
      <c r="RDA11" s="31"/>
      <c r="RDB11" s="31"/>
      <c r="RDC11" s="31"/>
      <c r="RDD11" s="31"/>
      <c r="RDE11" s="31"/>
      <c r="RDF11" s="31"/>
      <c r="RDG11" s="31"/>
      <c r="RDH11" s="31"/>
      <c r="RDI11" s="31"/>
      <c r="RDJ11" s="31"/>
      <c r="RDK11" s="31"/>
      <c r="RDL11" s="31"/>
      <c r="RDM11" s="31"/>
      <c r="RDN11" s="31"/>
      <c r="RDO11" s="31"/>
      <c r="RDP11" s="31"/>
      <c r="RDQ11" s="31"/>
      <c r="RDR11" s="31"/>
      <c r="RDS11" s="31"/>
      <c r="RDT11" s="31"/>
      <c r="RDU11" s="31"/>
      <c r="RDV11" s="31"/>
      <c r="RDW11" s="31"/>
      <c r="RDX11" s="31"/>
      <c r="RDY11" s="31"/>
      <c r="RDZ11" s="31"/>
      <c r="REA11" s="31"/>
      <c r="REB11" s="31"/>
      <c r="REC11" s="31"/>
      <c r="RED11" s="31"/>
      <c r="REE11" s="31"/>
      <c r="REF11" s="31"/>
      <c r="REG11" s="31"/>
      <c r="REH11" s="31"/>
      <c r="REI11" s="31"/>
      <c r="REJ11" s="31"/>
      <c r="REK11" s="31"/>
      <c r="REL11" s="31"/>
      <c r="REM11" s="31"/>
      <c r="REN11" s="31"/>
      <c r="REO11" s="31"/>
      <c r="REP11" s="31"/>
      <c r="REQ11" s="31"/>
      <c r="RER11" s="31"/>
      <c r="RES11" s="31"/>
      <c r="RET11" s="31"/>
      <c r="REU11" s="31"/>
      <c r="REV11" s="31"/>
      <c r="REW11" s="31"/>
      <c r="REX11" s="31"/>
      <c r="REY11" s="31"/>
      <c r="REZ11" s="31"/>
      <c r="RFA11" s="31"/>
      <c r="RFB11" s="31"/>
      <c r="RFC11" s="31"/>
      <c r="RFD11" s="31"/>
      <c r="RFE11" s="31"/>
      <c r="RFF11" s="31"/>
      <c r="RFG11" s="31"/>
      <c r="RFH11" s="31"/>
      <c r="RFI11" s="31"/>
      <c r="RFJ11" s="31"/>
      <c r="RFK11" s="31"/>
      <c r="RFL11" s="31"/>
      <c r="RFM11" s="31"/>
      <c r="RFN11" s="31"/>
      <c r="RFO11" s="31"/>
      <c r="RFP11" s="31"/>
      <c r="RFQ11" s="31"/>
      <c r="RFR11" s="31"/>
      <c r="RFS11" s="31"/>
      <c r="RFT11" s="31"/>
      <c r="RFU11" s="31"/>
      <c r="RFV11" s="31"/>
      <c r="RFW11" s="31"/>
      <c r="RFX11" s="31"/>
      <c r="RFY11" s="31"/>
      <c r="RFZ11" s="31"/>
      <c r="RGA11" s="31"/>
      <c r="RGB11" s="31"/>
      <c r="RGC11" s="31"/>
      <c r="RGD11" s="31"/>
      <c r="RGE11" s="31"/>
      <c r="RGF11" s="31"/>
      <c r="RGG11" s="31"/>
      <c r="RGH11" s="31"/>
      <c r="RGI11" s="31"/>
      <c r="RGJ11" s="31"/>
      <c r="RGK11" s="31"/>
      <c r="RGL11" s="31"/>
      <c r="RGM11" s="31"/>
      <c r="RGN11" s="31"/>
      <c r="RGO11" s="31"/>
      <c r="RGP11" s="31"/>
      <c r="RGQ11" s="31"/>
      <c r="RGR11" s="31"/>
      <c r="RGS11" s="31"/>
      <c r="RGT11" s="31"/>
      <c r="RGU11" s="31"/>
      <c r="RGV11" s="31"/>
      <c r="RGW11" s="31"/>
      <c r="RGX11" s="31"/>
      <c r="RGY11" s="31"/>
      <c r="RGZ11" s="31"/>
      <c r="RHA11" s="31"/>
      <c r="RHB11" s="31"/>
      <c r="RHC11" s="31"/>
      <c r="RHD11" s="31"/>
      <c r="RHE11" s="31"/>
      <c r="RHF11" s="31"/>
      <c r="RHG11" s="31"/>
      <c r="RHH11" s="31"/>
      <c r="RHI11" s="31"/>
      <c r="RHJ11" s="31"/>
      <c r="RHK11" s="31"/>
      <c r="RHL11" s="31"/>
      <c r="RHM11" s="31"/>
      <c r="RHN11" s="31"/>
      <c r="RHO11" s="31"/>
      <c r="RHP11" s="31"/>
      <c r="RHQ11" s="31"/>
      <c r="RHR11" s="31"/>
      <c r="RHS11" s="31"/>
      <c r="RHT11" s="31"/>
      <c r="RHU11" s="31"/>
      <c r="RHV11" s="31"/>
      <c r="RHW11" s="31"/>
      <c r="RHX11" s="31"/>
      <c r="RHY11" s="31"/>
      <c r="RHZ11" s="31"/>
      <c r="RIA11" s="31"/>
      <c r="RIB11" s="31"/>
      <c r="RIC11" s="31"/>
      <c r="RID11" s="31"/>
      <c r="RIE11" s="31"/>
      <c r="RIF11" s="31"/>
      <c r="RIG11" s="31"/>
      <c r="RIH11" s="31"/>
      <c r="RII11" s="31"/>
      <c r="RIJ11" s="31"/>
      <c r="RIK11" s="31"/>
      <c r="RIL11" s="31"/>
      <c r="RIM11" s="31"/>
      <c r="RIN11" s="31"/>
      <c r="RIO11" s="31"/>
      <c r="RIP11" s="31"/>
      <c r="RIQ11" s="31"/>
      <c r="RIR11" s="31"/>
      <c r="RIS11" s="31"/>
      <c r="RIT11" s="31"/>
      <c r="RIU11" s="31"/>
      <c r="RIV11" s="31"/>
      <c r="RIW11" s="31"/>
      <c r="RIX11" s="31"/>
      <c r="RIY11" s="31"/>
      <c r="RIZ11" s="31"/>
      <c r="RJA11" s="31"/>
      <c r="RJB11" s="31"/>
      <c r="RJC11" s="31"/>
      <c r="RJD11" s="31"/>
      <c r="RJE11" s="31"/>
      <c r="RJF11" s="31"/>
      <c r="RJG11" s="31"/>
      <c r="RJH11" s="31"/>
      <c r="RJI11" s="31"/>
      <c r="RJJ11" s="31"/>
      <c r="RJK11" s="31"/>
      <c r="RJL11" s="31"/>
      <c r="RJM11" s="31"/>
      <c r="RJN11" s="31"/>
      <c r="RJO11" s="31"/>
      <c r="RJP11" s="31"/>
      <c r="RJQ11" s="31"/>
      <c r="RJR11" s="31"/>
      <c r="RJS11" s="31"/>
      <c r="RJT11" s="31"/>
      <c r="RJU11" s="31"/>
      <c r="RJV11" s="31"/>
      <c r="RJW11" s="31"/>
      <c r="RJX11" s="31"/>
      <c r="RJY11" s="31"/>
      <c r="RJZ11" s="31"/>
      <c r="RKA11" s="31"/>
      <c r="RKB11" s="31"/>
      <c r="RKC11" s="31"/>
      <c r="RKD11" s="31"/>
      <c r="RKE11" s="31"/>
      <c r="RKF11" s="31"/>
      <c r="RKG11" s="31"/>
      <c r="RKH11" s="31"/>
      <c r="RKI11" s="31"/>
      <c r="RKJ11" s="31"/>
      <c r="RKK11" s="31"/>
      <c r="RKL11" s="31"/>
      <c r="RKM11" s="31"/>
      <c r="RKN11" s="31"/>
      <c r="RKO11" s="31"/>
      <c r="RKP11" s="31"/>
      <c r="RKQ11" s="31"/>
      <c r="RKR11" s="31"/>
      <c r="RKS11" s="31"/>
      <c r="RKT11" s="31"/>
      <c r="RKU11" s="31"/>
      <c r="RKV11" s="31"/>
      <c r="RKW11" s="31"/>
      <c r="RKX11" s="31"/>
      <c r="RKY11" s="31"/>
      <c r="RKZ11" s="31"/>
      <c r="RLA11" s="31"/>
      <c r="RLB11" s="31"/>
      <c r="RLC11" s="31"/>
      <c r="RLD11" s="31"/>
      <c r="RLE11" s="31"/>
      <c r="RLF11" s="31"/>
      <c r="RLG11" s="31"/>
      <c r="RLH11" s="31"/>
      <c r="RLI11" s="31"/>
      <c r="RLJ11" s="31"/>
      <c r="RLK11" s="31"/>
      <c r="RLL11" s="31"/>
      <c r="RLM11" s="31"/>
      <c r="RLN11" s="31"/>
      <c r="RLO11" s="31"/>
      <c r="RLP11" s="31"/>
      <c r="RLQ11" s="31"/>
      <c r="RLR11" s="31"/>
      <c r="RLS11" s="31"/>
      <c r="RLT11" s="31"/>
      <c r="RLU11" s="31"/>
      <c r="RLV11" s="31"/>
      <c r="RLW11" s="31"/>
      <c r="RLX11" s="31"/>
      <c r="RLY11" s="31"/>
      <c r="RLZ11" s="31"/>
      <c r="RMA11" s="31"/>
      <c r="RMB11" s="31"/>
      <c r="RMC11" s="31"/>
      <c r="RMD11" s="31"/>
      <c r="RME11" s="31"/>
      <c r="RMF11" s="31"/>
      <c r="RMG11" s="31"/>
      <c r="RMH11" s="31"/>
      <c r="RMI11" s="31"/>
      <c r="RMJ11" s="31"/>
      <c r="RMK11" s="31"/>
      <c r="RML11" s="31"/>
      <c r="RMM11" s="31"/>
      <c r="RMN11" s="31"/>
      <c r="RMO11" s="31"/>
      <c r="RMP11" s="31"/>
      <c r="RMQ11" s="31"/>
      <c r="RMR11" s="31"/>
      <c r="RMS11" s="31"/>
      <c r="RMT11" s="31"/>
      <c r="RMU11" s="31"/>
      <c r="RMV11" s="31"/>
      <c r="RMW11" s="31"/>
      <c r="RMX11" s="31"/>
      <c r="RMY11" s="31"/>
      <c r="RMZ11" s="31"/>
      <c r="RNA11" s="31"/>
      <c r="RNB11" s="31"/>
      <c r="RNC11" s="31"/>
      <c r="RND11" s="31"/>
      <c r="RNE11" s="31"/>
      <c r="RNF11" s="31"/>
      <c r="RNG11" s="31"/>
      <c r="RNH11" s="31"/>
      <c r="RNI11" s="31"/>
      <c r="RNJ11" s="31"/>
      <c r="RNK11" s="31"/>
      <c r="RNL11" s="31"/>
      <c r="RNM11" s="31"/>
      <c r="RNN11" s="31"/>
      <c r="RNO11" s="31"/>
      <c r="RNP11" s="31"/>
      <c r="RNQ11" s="31"/>
      <c r="RNR11" s="31"/>
      <c r="RNS11" s="31"/>
      <c r="RNT11" s="31"/>
      <c r="RNU11" s="31"/>
      <c r="RNV11" s="31"/>
      <c r="RNW11" s="31"/>
      <c r="RNX11" s="31"/>
      <c r="RNY11" s="31"/>
      <c r="RNZ11" s="31"/>
      <c r="ROA11" s="31"/>
      <c r="ROB11" s="31"/>
      <c r="ROC11" s="31"/>
      <c r="ROD11" s="31"/>
      <c r="ROE11" s="31"/>
      <c r="ROF11" s="31"/>
      <c r="ROG11" s="31"/>
      <c r="ROH11" s="31"/>
      <c r="ROI11" s="31"/>
      <c r="ROJ11" s="31"/>
      <c r="ROK11" s="31"/>
      <c r="ROL11" s="31"/>
      <c r="ROM11" s="31"/>
      <c r="RON11" s="31"/>
      <c r="ROO11" s="31"/>
      <c r="ROP11" s="31"/>
      <c r="ROQ11" s="31"/>
      <c r="ROR11" s="31"/>
      <c r="ROS11" s="31"/>
      <c r="ROT11" s="31"/>
      <c r="ROU11" s="31"/>
      <c r="ROV11" s="31"/>
      <c r="ROW11" s="31"/>
      <c r="ROX11" s="31"/>
      <c r="ROY11" s="31"/>
      <c r="ROZ11" s="31"/>
      <c r="RPA11" s="31"/>
      <c r="RPB11" s="31"/>
      <c r="RPC11" s="31"/>
      <c r="RPD11" s="31"/>
      <c r="RPE11" s="31"/>
      <c r="RPF11" s="31"/>
      <c r="RPG11" s="31"/>
      <c r="RPH11" s="31"/>
      <c r="RPI11" s="31"/>
      <c r="RPJ11" s="31"/>
      <c r="RPK11" s="31"/>
      <c r="RPL11" s="31"/>
      <c r="RPM11" s="31"/>
      <c r="RPN11" s="31"/>
      <c r="RPO11" s="31"/>
      <c r="RPP11" s="31"/>
      <c r="RPQ11" s="31"/>
      <c r="RPR11" s="31"/>
      <c r="RPS11" s="31"/>
      <c r="RPT11" s="31"/>
      <c r="RPU11" s="31"/>
      <c r="RPV11" s="31"/>
      <c r="RPW11" s="31"/>
      <c r="RPX11" s="31"/>
      <c r="RPY11" s="31"/>
      <c r="RPZ11" s="31"/>
      <c r="RQA11" s="31"/>
      <c r="RQB11" s="31"/>
      <c r="RQC11" s="31"/>
      <c r="RQD11" s="31"/>
      <c r="RQE11" s="31"/>
      <c r="RQF11" s="31"/>
      <c r="RQG11" s="31"/>
      <c r="RQH11" s="31"/>
      <c r="RQI11" s="31"/>
      <c r="RQJ11" s="31"/>
      <c r="RQK11" s="31"/>
      <c r="RQL11" s="31"/>
      <c r="RQM11" s="31"/>
      <c r="RQN11" s="31"/>
      <c r="RQO11" s="31"/>
      <c r="RQP11" s="31"/>
      <c r="RQQ11" s="31"/>
      <c r="RQR11" s="31"/>
      <c r="RQS11" s="31"/>
      <c r="RQT11" s="31"/>
      <c r="RQU11" s="31"/>
      <c r="RQV11" s="31"/>
      <c r="RQW11" s="31"/>
      <c r="RQX11" s="31"/>
      <c r="RQY11" s="31"/>
      <c r="RQZ11" s="31"/>
      <c r="RRA11" s="31"/>
      <c r="RRB11" s="31"/>
      <c r="RRC11" s="31"/>
      <c r="RRD11" s="31"/>
      <c r="RRE11" s="31"/>
      <c r="RRF11" s="31"/>
      <c r="RRG11" s="31"/>
      <c r="RRH11" s="31"/>
      <c r="RRI11" s="31"/>
      <c r="RRJ11" s="31"/>
      <c r="RRK11" s="31"/>
      <c r="RRL11" s="31"/>
      <c r="RRM11" s="31"/>
      <c r="RRN11" s="31"/>
      <c r="RRO11" s="31"/>
      <c r="RRP11" s="31"/>
      <c r="RRQ11" s="31"/>
      <c r="RRR11" s="31"/>
      <c r="RRS11" s="31"/>
      <c r="RRT11" s="31"/>
      <c r="RRU11" s="31"/>
      <c r="RRV11" s="31"/>
      <c r="RRW11" s="31"/>
      <c r="RRX11" s="31"/>
      <c r="RRY11" s="31"/>
      <c r="RRZ11" s="31"/>
      <c r="RSA11" s="31"/>
      <c r="RSB11" s="31"/>
      <c r="RSC11" s="31"/>
      <c r="RSD11" s="31"/>
      <c r="RSE11" s="31"/>
      <c r="RSF11" s="31"/>
      <c r="RSG11" s="31"/>
      <c r="RSH11" s="31"/>
      <c r="RSI11" s="31"/>
      <c r="RSJ11" s="31"/>
      <c r="RSK11" s="31"/>
      <c r="RSL11" s="31"/>
      <c r="RSM11" s="31"/>
      <c r="RSN11" s="31"/>
      <c r="RSO11" s="31"/>
      <c r="RSP11" s="31"/>
      <c r="RSQ11" s="31"/>
      <c r="RSR11" s="31"/>
      <c r="RSS11" s="31"/>
      <c r="RST11" s="31"/>
      <c r="RSU11" s="31"/>
      <c r="RSV11" s="31"/>
      <c r="RSW11" s="31"/>
      <c r="RSX11" s="31"/>
      <c r="RSY11" s="31"/>
      <c r="RSZ11" s="31"/>
      <c r="RTA11" s="31"/>
      <c r="RTB11" s="31"/>
      <c r="RTC11" s="31"/>
      <c r="RTD11" s="31"/>
      <c r="RTE11" s="31"/>
      <c r="RTF11" s="31"/>
      <c r="RTG11" s="31"/>
      <c r="RTH11" s="31"/>
      <c r="RTI11" s="31"/>
      <c r="RTJ11" s="31"/>
      <c r="RTK11" s="31"/>
      <c r="RTL11" s="31"/>
      <c r="RTM11" s="31"/>
      <c r="RTN11" s="31"/>
      <c r="RTO11" s="31"/>
      <c r="RTP11" s="31"/>
      <c r="RTQ11" s="31"/>
      <c r="RTR11" s="31"/>
      <c r="RTS11" s="31"/>
      <c r="RTT11" s="31"/>
      <c r="RTU11" s="31"/>
      <c r="RTV11" s="31"/>
      <c r="RTW11" s="31"/>
      <c r="RTX11" s="31"/>
      <c r="RTY11" s="31"/>
      <c r="RTZ11" s="31"/>
      <c r="RUA11" s="31"/>
      <c r="RUB11" s="31"/>
      <c r="RUC11" s="31"/>
      <c r="RUD11" s="31"/>
      <c r="RUE11" s="31"/>
      <c r="RUF11" s="31"/>
      <c r="RUG11" s="31"/>
      <c r="RUH11" s="31"/>
      <c r="RUI11" s="31"/>
      <c r="RUJ11" s="31"/>
      <c r="RUK11" s="31"/>
      <c r="RUL11" s="31"/>
      <c r="RUM11" s="31"/>
      <c r="RUN11" s="31"/>
      <c r="RUO11" s="31"/>
      <c r="RUP11" s="31"/>
      <c r="RUQ11" s="31"/>
      <c r="RUR11" s="31"/>
      <c r="RUS11" s="31"/>
      <c r="RUT11" s="31"/>
      <c r="RUU11" s="31"/>
      <c r="RUV11" s="31"/>
      <c r="RUW11" s="31"/>
      <c r="RUX11" s="31"/>
      <c r="RUY11" s="31"/>
      <c r="RUZ11" s="31"/>
      <c r="RVA11" s="31"/>
      <c r="RVB11" s="31"/>
      <c r="RVC11" s="31"/>
      <c r="RVD11" s="31"/>
      <c r="RVE11" s="31"/>
      <c r="RVF11" s="31"/>
      <c r="RVG11" s="31"/>
      <c r="RVH11" s="31"/>
      <c r="RVI11" s="31"/>
      <c r="RVJ11" s="31"/>
      <c r="RVK11" s="31"/>
      <c r="RVL11" s="31"/>
      <c r="RVM11" s="31"/>
      <c r="RVN11" s="31"/>
      <c r="RVO11" s="31"/>
      <c r="RVP11" s="31"/>
      <c r="RVQ11" s="31"/>
      <c r="RVR11" s="31"/>
      <c r="RVS11" s="31"/>
      <c r="RVT11" s="31"/>
      <c r="RVU11" s="31"/>
      <c r="RVV11" s="31"/>
      <c r="RVW11" s="31"/>
      <c r="RVX11" s="31"/>
      <c r="RVY11" s="31"/>
      <c r="RVZ11" s="31"/>
      <c r="RWA11" s="31"/>
      <c r="RWB11" s="31"/>
      <c r="RWC11" s="31"/>
      <c r="RWD11" s="31"/>
      <c r="RWE11" s="31"/>
      <c r="RWF11" s="31"/>
      <c r="RWG11" s="31"/>
      <c r="RWH11" s="31"/>
      <c r="RWI11" s="31"/>
      <c r="RWJ11" s="31"/>
      <c r="RWK11" s="31"/>
      <c r="RWL11" s="31"/>
      <c r="RWM11" s="31"/>
      <c r="RWN11" s="31"/>
      <c r="RWO11" s="31"/>
      <c r="RWP11" s="31"/>
      <c r="RWQ11" s="31"/>
      <c r="RWR11" s="31"/>
      <c r="RWS11" s="31"/>
      <c r="RWT11" s="31"/>
      <c r="RWU11" s="31"/>
      <c r="RWV11" s="31"/>
      <c r="RWW11" s="31"/>
      <c r="RWX11" s="31"/>
      <c r="RWY11" s="31"/>
      <c r="RWZ11" s="31"/>
      <c r="RXA11" s="31"/>
      <c r="RXB11" s="31"/>
      <c r="RXC11" s="31"/>
      <c r="RXD11" s="31"/>
      <c r="RXE11" s="31"/>
      <c r="RXF11" s="31"/>
      <c r="RXG11" s="31"/>
      <c r="RXH11" s="31"/>
      <c r="RXI11" s="31"/>
      <c r="RXJ11" s="31"/>
      <c r="RXK11" s="31"/>
      <c r="RXL11" s="31"/>
      <c r="RXM11" s="31"/>
      <c r="RXN11" s="31"/>
      <c r="RXO11" s="31"/>
      <c r="RXP11" s="31"/>
      <c r="RXQ11" s="31"/>
      <c r="RXR11" s="31"/>
      <c r="RXS11" s="31"/>
      <c r="RXT11" s="31"/>
      <c r="RXU11" s="31"/>
      <c r="RXV11" s="31"/>
      <c r="RXW11" s="31"/>
      <c r="RXX11" s="31"/>
      <c r="RXY11" s="31"/>
      <c r="RXZ11" s="31"/>
      <c r="RYA11" s="31"/>
      <c r="RYB11" s="31"/>
      <c r="RYC11" s="31"/>
      <c r="RYD11" s="31"/>
      <c r="RYE11" s="31"/>
      <c r="RYF11" s="31"/>
      <c r="RYG11" s="31"/>
      <c r="RYH11" s="31"/>
      <c r="RYI11" s="31"/>
      <c r="RYJ11" s="31"/>
      <c r="RYK11" s="31"/>
      <c r="RYL11" s="31"/>
      <c r="RYM11" s="31"/>
      <c r="RYN11" s="31"/>
      <c r="RYO11" s="31"/>
      <c r="RYP11" s="31"/>
      <c r="RYQ11" s="31"/>
      <c r="RYR11" s="31"/>
      <c r="RYS11" s="31"/>
      <c r="RYT11" s="31"/>
      <c r="RYU11" s="31"/>
      <c r="RYV11" s="31"/>
      <c r="RYW11" s="31"/>
      <c r="RYX11" s="31"/>
      <c r="RYY11" s="31"/>
      <c r="RYZ11" s="31"/>
      <c r="RZA11" s="31"/>
      <c r="RZB11" s="31"/>
      <c r="RZC11" s="31"/>
      <c r="RZD11" s="31"/>
      <c r="RZE11" s="31"/>
      <c r="RZF11" s="31"/>
      <c r="RZG11" s="31"/>
      <c r="RZH11" s="31"/>
      <c r="RZI11" s="31"/>
      <c r="RZJ11" s="31"/>
      <c r="RZK11" s="31"/>
      <c r="RZL11" s="31"/>
      <c r="RZM11" s="31"/>
      <c r="RZN11" s="31"/>
      <c r="RZO11" s="31"/>
      <c r="RZP11" s="31"/>
      <c r="RZQ11" s="31"/>
      <c r="RZR11" s="31"/>
      <c r="RZS11" s="31"/>
      <c r="RZT11" s="31"/>
      <c r="RZU11" s="31"/>
      <c r="RZV11" s="31"/>
      <c r="RZW11" s="31"/>
      <c r="RZX11" s="31"/>
      <c r="RZY11" s="31"/>
      <c r="RZZ11" s="31"/>
      <c r="SAA11" s="31"/>
      <c r="SAB11" s="31"/>
      <c r="SAC11" s="31"/>
      <c r="SAD11" s="31"/>
      <c r="SAE11" s="31"/>
      <c r="SAF11" s="31"/>
      <c r="SAG11" s="31"/>
      <c r="SAH11" s="31"/>
      <c r="SAI11" s="31"/>
      <c r="SAJ11" s="31"/>
      <c r="SAK11" s="31"/>
      <c r="SAL11" s="31"/>
      <c r="SAM11" s="31"/>
      <c r="SAN11" s="31"/>
      <c r="SAO11" s="31"/>
      <c r="SAP11" s="31"/>
      <c r="SAQ11" s="31"/>
      <c r="SAR11" s="31"/>
      <c r="SAS11" s="31"/>
      <c r="SAT11" s="31"/>
      <c r="SAU11" s="31"/>
      <c r="SAV11" s="31"/>
      <c r="SAW11" s="31"/>
      <c r="SAX11" s="31"/>
      <c r="SAY11" s="31"/>
      <c r="SAZ11" s="31"/>
      <c r="SBA11" s="31"/>
      <c r="SBB11" s="31"/>
      <c r="SBC11" s="31"/>
      <c r="SBD11" s="31"/>
      <c r="SBE11" s="31"/>
      <c r="SBF11" s="31"/>
      <c r="SBG11" s="31"/>
      <c r="SBH11" s="31"/>
      <c r="SBI11" s="31"/>
      <c r="SBJ11" s="31"/>
      <c r="SBK11" s="31"/>
      <c r="SBL11" s="31"/>
      <c r="SBM11" s="31"/>
      <c r="SBN11" s="31"/>
      <c r="SBO11" s="31"/>
      <c r="SBP11" s="31"/>
      <c r="SBQ11" s="31"/>
      <c r="SBR11" s="31"/>
      <c r="SBS11" s="31"/>
      <c r="SBT11" s="31"/>
      <c r="SBU11" s="31"/>
      <c r="SBV11" s="31"/>
      <c r="SBW11" s="31"/>
      <c r="SBX11" s="31"/>
      <c r="SBY11" s="31"/>
      <c r="SBZ11" s="31"/>
      <c r="SCA11" s="31"/>
      <c r="SCB11" s="31"/>
      <c r="SCC11" s="31"/>
      <c r="SCD11" s="31"/>
      <c r="SCE11" s="31"/>
      <c r="SCF11" s="31"/>
      <c r="SCG11" s="31"/>
      <c r="SCH11" s="31"/>
      <c r="SCI11" s="31"/>
      <c r="SCJ11" s="31"/>
      <c r="SCK11" s="31"/>
      <c r="SCL11" s="31"/>
      <c r="SCM11" s="31"/>
      <c r="SCN11" s="31"/>
      <c r="SCO11" s="31"/>
      <c r="SCP11" s="31"/>
      <c r="SCQ11" s="31"/>
      <c r="SCR11" s="31"/>
      <c r="SCS11" s="31"/>
      <c r="SCT11" s="31"/>
      <c r="SCU11" s="31"/>
      <c r="SCV11" s="31"/>
      <c r="SCW11" s="31"/>
      <c r="SCX11" s="31"/>
      <c r="SCY11" s="31"/>
      <c r="SCZ11" s="31"/>
      <c r="SDA11" s="31"/>
      <c r="SDB11" s="31"/>
      <c r="SDC11" s="31"/>
      <c r="SDD11" s="31"/>
      <c r="SDE11" s="31"/>
      <c r="SDF11" s="31"/>
      <c r="SDG11" s="31"/>
      <c r="SDH11" s="31"/>
      <c r="SDI11" s="31"/>
      <c r="SDJ11" s="31"/>
      <c r="SDK11" s="31"/>
      <c r="SDL11" s="31"/>
      <c r="SDM11" s="31"/>
      <c r="SDN11" s="31"/>
      <c r="SDO11" s="31"/>
      <c r="SDP11" s="31"/>
      <c r="SDQ11" s="31"/>
      <c r="SDR11" s="31"/>
      <c r="SDS11" s="31"/>
      <c r="SDT11" s="31"/>
      <c r="SDU11" s="31"/>
      <c r="SDV11" s="31"/>
      <c r="SDW11" s="31"/>
      <c r="SDX11" s="31"/>
      <c r="SDY11" s="31"/>
      <c r="SDZ11" s="31"/>
      <c r="SEA11" s="31"/>
      <c r="SEB11" s="31"/>
      <c r="SEC11" s="31"/>
      <c r="SED11" s="31"/>
      <c r="SEE11" s="31"/>
      <c r="SEF11" s="31"/>
      <c r="SEG11" s="31"/>
      <c r="SEH11" s="31"/>
      <c r="SEI11" s="31"/>
      <c r="SEJ11" s="31"/>
      <c r="SEK11" s="31"/>
      <c r="SEL11" s="31"/>
      <c r="SEM11" s="31"/>
      <c r="SEN11" s="31"/>
      <c r="SEO11" s="31"/>
      <c r="SEP11" s="31"/>
      <c r="SEQ11" s="31"/>
      <c r="SER11" s="31"/>
      <c r="SES11" s="31"/>
      <c r="SET11" s="31"/>
      <c r="SEU11" s="31"/>
      <c r="SEV11" s="31"/>
      <c r="SEW11" s="31"/>
      <c r="SEX11" s="31"/>
      <c r="SEY11" s="31"/>
      <c r="SEZ11" s="31"/>
      <c r="SFA11" s="31"/>
      <c r="SFB11" s="31"/>
      <c r="SFC11" s="31"/>
      <c r="SFD11" s="31"/>
      <c r="SFE11" s="31"/>
      <c r="SFF11" s="31"/>
      <c r="SFG11" s="31"/>
      <c r="SFH11" s="31"/>
      <c r="SFI11" s="31"/>
      <c r="SFJ11" s="31"/>
      <c r="SFK11" s="31"/>
      <c r="SFL11" s="31"/>
      <c r="SFM11" s="31"/>
      <c r="SFN11" s="31"/>
      <c r="SFO11" s="31"/>
      <c r="SFP11" s="31"/>
      <c r="SFQ11" s="31"/>
      <c r="SFR11" s="31"/>
      <c r="SFS11" s="31"/>
      <c r="SFT11" s="31"/>
      <c r="SFU11" s="31"/>
      <c r="SFV11" s="31"/>
      <c r="SFW11" s="31"/>
      <c r="SFX11" s="31"/>
      <c r="SFY11" s="31"/>
      <c r="SFZ11" s="31"/>
      <c r="SGA11" s="31"/>
      <c r="SGB11" s="31"/>
      <c r="SGC11" s="31"/>
      <c r="SGD11" s="31"/>
      <c r="SGE11" s="31"/>
      <c r="SGF11" s="31"/>
      <c r="SGG11" s="31"/>
      <c r="SGH11" s="31"/>
      <c r="SGI11" s="31"/>
      <c r="SGJ11" s="31"/>
      <c r="SGK11" s="31"/>
      <c r="SGL11" s="31"/>
      <c r="SGM11" s="31"/>
      <c r="SGN11" s="31"/>
      <c r="SGO11" s="31"/>
      <c r="SGP11" s="31"/>
      <c r="SGQ11" s="31"/>
      <c r="SGR11" s="31"/>
      <c r="SGS11" s="31"/>
      <c r="SGT11" s="31"/>
      <c r="SGU11" s="31"/>
      <c r="SGV11" s="31"/>
      <c r="SGW11" s="31"/>
      <c r="SGX11" s="31"/>
      <c r="SGY11" s="31"/>
      <c r="SGZ11" s="31"/>
      <c r="SHA11" s="31"/>
      <c r="SHB11" s="31"/>
      <c r="SHC11" s="31"/>
      <c r="SHD11" s="31"/>
      <c r="SHE11" s="31"/>
      <c r="SHF11" s="31"/>
      <c r="SHG11" s="31"/>
      <c r="SHH11" s="31"/>
      <c r="SHI11" s="31"/>
      <c r="SHJ11" s="31"/>
      <c r="SHK11" s="31"/>
      <c r="SHL11" s="31"/>
      <c r="SHM11" s="31"/>
      <c r="SHN11" s="31"/>
      <c r="SHO11" s="31"/>
      <c r="SHP11" s="31"/>
      <c r="SHQ11" s="31"/>
      <c r="SHR11" s="31"/>
      <c r="SHS11" s="31"/>
      <c r="SHT11" s="31"/>
      <c r="SHU11" s="31"/>
      <c r="SHV11" s="31"/>
      <c r="SHW11" s="31"/>
      <c r="SHX11" s="31"/>
      <c r="SHY11" s="31"/>
      <c r="SHZ11" s="31"/>
      <c r="SIA11" s="31"/>
      <c r="SIB11" s="31"/>
      <c r="SIC11" s="31"/>
      <c r="SID11" s="31"/>
      <c r="SIE11" s="31"/>
      <c r="SIF11" s="31"/>
      <c r="SIG11" s="31"/>
      <c r="SIH11" s="31"/>
      <c r="SII11" s="31"/>
      <c r="SIJ11" s="31"/>
      <c r="SIK11" s="31"/>
      <c r="SIL11" s="31"/>
      <c r="SIM11" s="31"/>
      <c r="SIN11" s="31"/>
      <c r="SIO11" s="31"/>
      <c r="SIP11" s="31"/>
      <c r="SIQ11" s="31"/>
      <c r="SIR11" s="31"/>
      <c r="SIS11" s="31"/>
      <c r="SIT11" s="31"/>
      <c r="SIU11" s="31"/>
      <c r="SIV11" s="31"/>
      <c r="SIW11" s="31"/>
      <c r="SIX11" s="31"/>
      <c r="SIY11" s="31"/>
      <c r="SIZ11" s="31"/>
      <c r="SJA11" s="31"/>
      <c r="SJB11" s="31"/>
      <c r="SJC11" s="31"/>
      <c r="SJD11" s="31"/>
      <c r="SJE11" s="31"/>
      <c r="SJF11" s="31"/>
      <c r="SJG11" s="31"/>
      <c r="SJH11" s="31"/>
      <c r="SJI11" s="31"/>
      <c r="SJJ11" s="31"/>
      <c r="SJK11" s="31"/>
      <c r="SJL11" s="31"/>
      <c r="SJM11" s="31"/>
      <c r="SJN11" s="31"/>
      <c r="SJO11" s="31"/>
      <c r="SJP11" s="31"/>
      <c r="SJQ11" s="31"/>
      <c r="SJR11" s="31"/>
      <c r="SJS11" s="31"/>
      <c r="SJT11" s="31"/>
      <c r="SJU11" s="31"/>
      <c r="SJV11" s="31"/>
      <c r="SJW11" s="31"/>
      <c r="SJX11" s="31"/>
      <c r="SJY11" s="31"/>
      <c r="SJZ11" s="31"/>
      <c r="SKA11" s="31"/>
      <c r="SKB11" s="31"/>
      <c r="SKC11" s="31"/>
      <c r="SKD11" s="31"/>
      <c r="SKE11" s="31"/>
      <c r="SKF11" s="31"/>
      <c r="SKG11" s="31"/>
      <c r="SKH11" s="31"/>
      <c r="SKI11" s="31"/>
      <c r="SKJ11" s="31"/>
      <c r="SKK11" s="31"/>
      <c r="SKL11" s="31"/>
      <c r="SKM11" s="31"/>
      <c r="SKN11" s="31"/>
      <c r="SKO11" s="31"/>
      <c r="SKP11" s="31"/>
      <c r="SKQ11" s="31"/>
      <c r="SKR11" s="31"/>
      <c r="SKS11" s="31"/>
      <c r="SKT11" s="31"/>
      <c r="SKU11" s="31"/>
      <c r="SKV11" s="31"/>
      <c r="SKW11" s="31"/>
      <c r="SKX11" s="31"/>
      <c r="SKY11" s="31"/>
      <c r="SKZ11" s="31"/>
      <c r="SLA11" s="31"/>
      <c r="SLB11" s="31"/>
      <c r="SLC11" s="31"/>
      <c r="SLD11" s="31"/>
      <c r="SLE11" s="31"/>
      <c r="SLF11" s="31"/>
      <c r="SLG11" s="31"/>
      <c r="SLH11" s="31"/>
      <c r="SLI11" s="31"/>
      <c r="SLJ11" s="31"/>
      <c r="SLK11" s="31"/>
      <c r="SLL11" s="31"/>
      <c r="SLM11" s="31"/>
      <c r="SLN11" s="31"/>
      <c r="SLO11" s="31"/>
      <c r="SLP11" s="31"/>
      <c r="SLQ11" s="31"/>
      <c r="SLR11" s="31"/>
      <c r="SLS11" s="31"/>
      <c r="SLT11" s="31"/>
      <c r="SLU11" s="31"/>
      <c r="SLV11" s="31"/>
      <c r="SLW11" s="31"/>
      <c r="SLX11" s="31"/>
      <c r="SLY11" s="31"/>
      <c r="SLZ11" s="31"/>
      <c r="SMA11" s="31"/>
      <c r="SMB11" s="31"/>
      <c r="SMC11" s="31"/>
      <c r="SMD11" s="31"/>
      <c r="SME11" s="31"/>
      <c r="SMF11" s="31"/>
      <c r="SMG11" s="31"/>
      <c r="SMH11" s="31"/>
      <c r="SMI11" s="31"/>
      <c r="SMJ11" s="31"/>
      <c r="SMK11" s="31"/>
      <c r="SML11" s="31"/>
      <c r="SMM11" s="31"/>
      <c r="SMN11" s="31"/>
      <c r="SMO11" s="31"/>
      <c r="SMP11" s="31"/>
      <c r="SMQ11" s="31"/>
      <c r="SMR11" s="31"/>
      <c r="SMS11" s="31"/>
      <c r="SMT11" s="31"/>
      <c r="SMU11" s="31"/>
      <c r="SMV11" s="31"/>
      <c r="SMW11" s="31"/>
      <c r="SMX11" s="31"/>
      <c r="SMY11" s="31"/>
      <c r="SMZ11" s="31"/>
      <c r="SNA11" s="31"/>
      <c r="SNB11" s="31"/>
      <c r="SNC11" s="31"/>
      <c r="SND11" s="31"/>
      <c r="SNE11" s="31"/>
      <c r="SNF11" s="31"/>
      <c r="SNG11" s="31"/>
      <c r="SNH11" s="31"/>
      <c r="SNI11" s="31"/>
      <c r="SNJ11" s="31"/>
      <c r="SNK11" s="31"/>
      <c r="SNL11" s="31"/>
      <c r="SNM11" s="31"/>
      <c r="SNN11" s="31"/>
      <c r="SNO11" s="31"/>
      <c r="SNP11" s="31"/>
      <c r="SNQ11" s="31"/>
      <c r="SNR11" s="31"/>
      <c r="SNS11" s="31"/>
      <c r="SNT11" s="31"/>
      <c r="SNU11" s="31"/>
      <c r="SNV11" s="31"/>
      <c r="SNW11" s="31"/>
      <c r="SNX11" s="31"/>
      <c r="SNY11" s="31"/>
      <c r="SNZ11" s="31"/>
      <c r="SOA11" s="31"/>
      <c r="SOB11" s="31"/>
      <c r="SOC11" s="31"/>
      <c r="SOD11" s="31"/>
      <c r="SOE11" s="31"/>
      <c r="SOF11" s="31"/>
      <c r="SOG11" s="31"/>
      <c r="SOH11" s="31"/>
      <c r="SOI11" s="31"/>
      <c r="SOJ11" s="31"/>
      <c r="SOK11" s="31"/>
      <c r="SOL11" s="31"/>
      <c r="SOM11" s="31"/>
      <c r="SON11" s="31"/>
      <c r="SOO11" s="31"/>
      <c r="SOP11" s="31"/>
      <c r="SOQ11" s="31"/>
      <c r="SOR11" s="31"/>
      <c r="SOS11" s="31"/>
      <c r="SOT11" s="31"/>
      <c r="SOU11" s="31"/>
      <c r="SOV11" s="31"/>
      <c r="SOW11" s="31"/>
      <c r="SOX11" s="31"/>
      <c r="SOY11" s="31"/>
      <c r="SOZ11" s="31"/>
      <c r="SPA11" s="31"/>
      <c r="SPB11" s="31"/>
      <c r="SPC11" s="31"/>
      <c r="SPD11" s="31"/>
      <c r="SPE11" s="31"/>
      <c r="SPF11" s="31"/>
      <c r="SPG11" s="31"/>
      <c r="SPH11" s="31"/>
      <c r="SPI11" s="31"/>
      <c r="SPJ11" s="31"/>
      <c r="SPK11" s="31"/>
      <c r="SPL11" s="31"/>
      <c r="SPM11" s="31"/>
      <c r="SPN11" s="31"/>
      <c r="SPO11" s="31"/>
      <c r="SPP11" s="31"/>
      <c r="SPQ11" s="31"/>
      <c r="SPR11" s="31"/>
      <c r="SPS11" s="31"/>
      <c r="SPT11" s="31"/>
      <c r="SPU11" s="31"/>
      <c r="SPV11" s="31"/>
      <c r="SPW11" s="31"/>
      <c r="SPX11" s="31"/>
      <c r="SPY11" s="31"/>
      <c r="SPZ11" s="31"/>
      <c r="SQA11" s="31"/>
      <c r="SQB11" s="31"/>
      <c r="SQC11" s="31"/>
      <c r="SQD11" s="31"/>
      <c r="SQE11" s="31"/>
      <c r="SQF11" s="31"/>
      <c r="SQG11" s="31"/>
      <c r="SQH11" s="31"/>
      <c r="SQI11" s="31"/>
      <c r="SQJ11" s="31"/>
      <c r="SQK11" s="31"/>
      <c r="SQL11" s="31"/>
      <c r="SQM11" s="31"/>
      <c r="SQN11" s="31"/>
      <c r="SQO11" s="31"/>
      <c r="SQP11" s="31"/>
      <c r="SQQ11" s="31"/>
      <c r="SQR11" s="31"/>
      <c r="SQS11" s="31"/>
      <c r="SQT11" s="31"/>
      <c r="SQU11" s="31"/>
      <c r="SQV11" s="31"/>
      <c r="SQW11" s="31"/>
      <c r="SQX11" s="31"/>
      <c r="SQY11" s="31"/>
      <c r="SQZ11" s="31"/>
      <c r="SRA11" s="31"/>
      <c r="SRB11" s="31"/>
      <c r="SRC11" s="31"/>
      <c r="SRD11" s="31"/>
      <c r="SRE11" s="31"/>
      <c r="SRF11" s="31"/>
      <c r="SRG11" s="31"/>
      <c r="SRH11" s="31"/>
      <c r="SRI11" s="31"/>
      <c r="SRJ11" s="31"/>
      <c r="SRK11" s="31"/>
      <c r="SRL11" s="31"/>
      <c r="SRM11" s="31"/>
      <c r="SRN11" s="31"/>
      <c r="SRO11" s="31"/>
      <c r="SRP11" s="31"/>
      <c r="SRQ11" s="31"/>
      <c r="SRR11" s="31"/>
      <c r="SRS11" s="31"/>
      <c r="SRT11" s="31"/>
      <c r="SRU11" s="31"/>
      <c r="SRV11" s="31"/>
      <c r="SRW11" s="31"/>
      <c r="SRX11" s="31"/>
      <c r="SRY11" s="31"/>
      <c r="SRZ11" s="31"/>
      <c r="SSA11" s="31"/>
      <c r="SSB11" s="31"/>
      <c r="SSC11" s="31"/>
      <c r="SSD11" s="31"/>
      <c r="SSE11" s="31"/>
      <c r="SSF11" s="31"/>
      <c r="SSG11" s="31"/>
      <c r="SSH11" s="31"/>
      <c r="SSI11" s="31"/>
      <c r="SSJ11" s="31"/>
      <c r="SSK11" s="31"/>
      <c r="SSL11" s="31"/>
      <c r="SSM11" s="31"/>
      <c r="SSN11" s="31"/>
      <c r="SSO11" s="31"/>
      <c r="SSP11" s="31"/>
      <c r="SSQ11" s="31"/>
      <c r="SSR11" s="31"/>
      <c r="SSS11" s="31"/>
      <c r="SST11" s="31"/>
      <c r="SSU11" s="31"/>
      <c r="SSV11" s="31"/>
      <c r="SSW11" s="31"/>
      <c r="SSX11" s="31"/>
      <c r="SSY11" s="31"/>
      <c r="SSZ11" s="31"/>
      <c r="STA11" s="31"/>
      <c r="STB11" s="31"/>
      <c r="STC11" s="31"/>
      <c r="STD11" s="31"/>
      <c r="STE11" s="31"/>
      <c r="STF11" s="31"/>
      <c r="STG11" s="31"/>
      <c r="STH11" s="31"/>
      <c r="STI11" s="31"/>
      <c r="STJ11" s="31"/>
      <c r="STK11" s="31"/>
      <c r="STL11" s="31"/>
      <c r="STM11" s="31"/>
      <c r="STN11" s="31"/>
      <c r="STO11" s="31"/>
      <c r="STP11" s="31"/>
      <c r="STQ11" s="31"/>
      <c r="STR11" s="31"/>
      <c r="STS11" s="31"/>
      <c r="STT11" s="31"/>
      <c r="STU11" s="31"/>
      <c r="STV11" s="31"/>
      <c r="STW11" s="31"/>
      <c r="STX11" s="31"/>
      <c r="STY11" s="31"/>
      <c r="STZ11" s="31"/>
      <c r="SUA11" s="31"/>
      <c r="SUB11" s="31"/>
      <c r="SUC11" s="31"/>
      <c r="SUD11" s="31"/>
      <c r="SUE11" s="31"/>
      <c r="SUF11" s="31"/>
      <c r="SUG11" s="31"/>
      <c r="SUH11" s="31"/>
      <c r="SUI11" s="31"/>
      <c r="SUJ11" s="31"/>
      <c r="SUK11" s="31"/>
      <c r="SUL11" s="31"/>
      <c r="SUM11" s="31"/>
      <c r="SUN11" s="31"/>
      <c r="SUO11" s="31"/>
      <c r="SUP11" s="31"/>
      <c r="SUQ11" s="31"/>
      <c r="SUR11" s="31"/>
      <c r="SUS11" s="31"/>
      <c r="SUT11" s="31"/>
      <c r="SUU11" s="31"/>
      <c r="SUV11" s="31"/>
      <c r="SUW11" s="31"/>
      <c r="SUX11" s="31"/>
      <c r="SUY11" s="31"/>
      <c r="SUZ11" s="31"/>
      <c r="SVA11" s="31"/>
      <c r="SVB11" s="31"/>
      <c r="SVC11" s="31"/>
      <c r="SVD11" s="31"/>
      <c r="SVE11" s="31"/>
      <c r="SVF11" s="31"/>
      <c r="SVG11" s="31"/>
      <c r="SVH11" s="31"/>
      <c r="SVI11" s="31"/>
      <c r="SVJ11" s="31"/>
      <c r="SVK11" s="31"/>
      <c r="SVL11" s="31"/>
      <c r="SVM11" s="31"/>
      <c r="SVN11" s="31"/>
      <c r="SVO11" s="31"/>
      <c r="SVP11" s="31"/>
      <c r="SVQ11" s="31"/>
      <c r="SVR11" s="31"/>
      <c r="SVS11" s="31"/>
      <c r="SVT11" s="31"/>
      <c r="SVU11" s="31"/>
      <c r="SVV11" s="31"/>
      <c r="SVW11" s="31"/>
      <c r="SVX11" s="31"/>
      <c r="SVY11" s="31"/>
      <c r="SVZ11" s="31"/>
      <c r="SWA11" s="31"/>
      <c r="SWB11" s="31"/>
      <c r="SWC11" s="31"/>
      <c r="SWD11" s="31"/>
      <c r="SWE11" s="31"/>
      <c r="SWF11" s="31"/>
      <c r="SWG11" s="31"/>
      <c r="SWH11" s="31"/>
      <c r="SWI11" s="31"/>
      <c r="SWJ11" s="31"/>
      <c r="SWK11" s="31"/>
      <c r="SWL11" s="31"/>
      <c r="SWM11" s="31"/>
      <c r="SWN11" s="31"/>
      <c r="SWO11" s="31"/>
      <c r="SWP11" s="31"/>
      <c r="SWQ11" s="31"/>
      <c r="SWR11" s="31"/>
      <c r="SWS11" s="31"/>
      <c r="SWT11" s="31"/>
      <c r="SWU11" s="31"/>
      <c r="SWV11" s="31"/>
      <c r="SWW11" s="31"/>
      <c r="SWX11" s="31"/>
      <c r="SWY11" s="31"/>
      <c r="SWZ11" s="31"/>
      <c r="SXA11" s="31"/>
      <c r="SXB11" s="31"/>
      <c r="SXC11" s="31"/>
      <c r="SXD11" s="31"/>
      <c r="SXE11" s="31"/>
      <c r="SXF11" s="31"/>
      <c r="SXG11" s="31"/>
      <c r="SXH11" s="31"/>
      <c r="SXI11" s="31"/>
      <c r="SXJ11" s="31"/>
      <c r="SXK11" s="31"/>
      <c r="SXL11" s="31"/>
      <c r="SXM11" s="31"/>
      <c r="SXN11" s="31"/>
      <c r="SXO11" s="31"/>
      <c r="SXP11" s="31"/>
      <c r="SXQ11" s="31"/>
      <c r="SXR11" s="31"/>
      <c r="SXS11" s="31"/>
      <c r="SXT11" s="31"/>
      <c r="SXU11" s="31"/>
      <c r="SXV11" s="31"/>
      <c r="SXW11" s="31"/>
      <c r="SXX11" s="31"/>
      <c r="SXY11" s="31"/>
      <c r="SXZ11" s="31"/>
      <c r="SYA11" s="31"/>
      <c r="SYB11" s="31"/>
      <c r="SYC11" s="31"/>
      <c r="SYD11" s="31"/>
      <c r="SYE11" s="31"/>
      <c r="SYF11" s="31"/>
      <c r="SYG11" s="31"/>
      <c r="SYH11" s="31"/>
      <c r="SYI11" s="31"/>
      <c r="SYJ11" s="31"/>
      <c r="SYK11" s="31"/>
      <c r="SYL11" s="31"/>
      <c r="SYM11" s="31"/>
      <c r="SYN11" s="31"/>
      <c r="SYO11" s="31"/>
      <c r="SYP11" s="31"/>
      <c r="SYQ11" s="31"/>
      <c r="SYR11" s="31"/>
      <c r="SYS11" s="31"/>
      <c r="SYT11" s="31"/>
      <c r="SYU11" s="31"/>
      <c r="SYV11" s="31"/>
      <c r="SYW11" s="31"/>
      <c r="SYX11" s="31"/>
      <c r="SYY11" s="31"/>
      <c r="SYZ11" s="31"/>
      <c r="SZA11" s="31"/>
      <c r="SZB11" s="31"/>
      <c r="SZC11" s="31"/>
      <c r="SZD11" s="31"/>
      <c r="SZE11" s="31"/>
      <c r="SZF11" s="31"/>
      <c r="SZG11" s="31"/>
      <c r="SZH11" s="31"/>
      <c r="SZI11" s="31"/>
      <c r="SZJ11" s="31"/>
      <c r="SZK11" s="31"/>
      <c r="SZL11" s="31"/>
      <c r="SZM11" s="31"/>
      <c r="SZN11" s="31"/>
      <c r="SZO11" s="31"/>
      <c r="SZP11" s="31"/>
      <c r="SZQ11" s="31"/>
      <c r="SZR11" s="31"/>
      <c r="SZS11" s="31"/>
      <c r="SZT11" s="31"/>
      <c r="SZU11" s="31"/>
      <c r="SZV11" s="31"/>
      <c r="SZW11" s="31"/>
      <c r="SZX11" s="31"/>
      <c r="SZY11" s="31"/>
      <c r="SZZ11" s="31"/>
      <c r="TAA11" s="31"/>
      <c r="TAB11" s="31"/>
      <c r="TAC11" s="31"/>
      <c r="TAD11" s="31"/>
      <c r="TAE11" s="31"/>
      <c r="TAF11" s="31"/>
      <c r="TAG11" s="31"/>
      <c r="TAH11" s="31"/>
      <c r="TAI11" s="31"/>
      <c r="TAJ11" s="31"/>
      <c r="TAK11" s="31"/>
      <c r="TAL11" s="31"/>
      <c r="TAM11" s="31"/>
      <c r="TAN11" s="31"/>
      <c r="TAO11" s="31"/>
      <c r="TAP11" s="31"/>
      <c r="TAQ11" s="31"/>
      <c r="TAR11" s="31"/>
      <c r="TAS11" s="31"/>
      <c r="TAT11" s="31"/>
      <c r="TAU11" s="31"/>
      <c r="TAV11" s="31"/>
      <c r="TAW11" s="31"/>
      <c r="TAX11" s="31"/>
      <c r="TAY11" s="31"/>
      <c r="TAZ11" s="31"/>
      <c r="TBA11" s="31"/>
      <c r="TBB11" s="31"/>
      <c r="TBC11" s="31"/>
      <c r="TBD11" s="31"/>
      <c r="TBE11" s="31"/>
      <c r="TBF11" s="31"/>
      <c r="TBG11" s="31"/>
      <c r="TBH11" s="31"/>
      <c r="TBI11" s="31"/>
      <c r="TBJ11" s="31"/>
      <c r="TBK11" s="31"/>
      <c r="TBL11" s="31"/>
      <c r="TBM11" s="31"/>
      <c r="TBN11" s="31"/>
      <c r="TBO11" s="31"/>
      <c r="TBP11" s="31"/>
      <c r="TBQ11" s="31"/>
      <c r="TBR11" s="31"/>
      <c r="TBS11" s="31"/>
      <c r="TBT11" s="31"/>
      <c r="TBU11" s="31"/>
      <c r="TBV11" s="31"/>
      <c r="TBW11" s="31"/>
      <c r="TBX11" s="31"/>
      <c r="TBY11" s="31"/>
      <c r="TBZ11" s="31"/>
      <c r="TCA11" s="31"/>
      <c r="TCB11" s="31"/>
      <c r="TCC11" s="31"/>
      <c r="TCD11" s="31"/>
      <c r="TCE11" s="31"/>
      <c r="TCF11" s="31"/>
      <c r="TCG11" s="31"/>
      <c r="TCH11" s="31"/>
      <c r="TCI11" s="31"/>
      <c r="TCJ11" s="31"/>
      <c r="TCK11" s="31"/>
      <c r="TCL11" s="31"/>
      <c r="TCM11" s="31"/>
      <c r="TCN11" s="31"/>
      <c r="TCO11" s="31"/>
      <c r="TCP11" s="31"/>
      <c r="TCQ11" s="31"/>
      <c r="TCR11" s="31"/>
      <c r="TCS11" s="31"/>
      <c r="TCT11" s="31"/>
      <c r="TCU11" s="31"/>
      <c r="TCV11" s="31"/>
      <c r="TCW11" s="31"/>
      <c r="TCX11" s="31"/>
      <c r="TCY11" s="31"/>
      <c r="TCZ11" s="31"/>
      <c r="TDA11" s="31"/>
      <c r="TDB11" s="31"/>
      <c r="TDC11" s="31"/>
      <c r="TDD11" s="31"/>
      <c r="TDE11" s="31"/>
      <c r="TDF11" s="31"/>
      <c r="TDG11" s="31"/>
      <c r="TDH11" s="31"/>
      <c r="TDI11" s="31"/>
      <c r="TDJ11" s="31"/>
      <c r="TDK11" s="31"/>
      <c r="TDL11" s="31"/>
      <c r="TDM11" s="31"/>
      <c r="TDN11" s="31"/>
      <c r="TDO11" s="31"/>
      <c r="TDP11" s="31"/>
      <c r="TDQ11" s="31"/>
      <c r="TDR11" s="31"/>
      <c r="TDS11" s="31"/>
      <c r="TDT11" s="31"/>
      <c r="TDU11" s="31"/>
      <c r="TDV11" s="31"/>
      <c r="TDW11" s="31"/>
      <c r="TDX11" s="31"/>
      <c r="TDY11" s="31"/>
      <c r="TDZ11" s="31"/>
      <c r="TEA11" s="31"/>
      <c r="TEB11" s="31"/>
      <c r="TEC11" s="31"/>
      <c r="TED11" s="31"/>
      <c r="TEE11" s="31"/>
      <c r="TEF11" s="31"/>
      <c r="TEG11" s="31"/>
      <c r="TEH11" s="31"/>
      <c r="TEI11" s="31"/>
      <c r="TEJ11" s="31"/>
      <c r="TEK11" s="31"/>
      <c r="TEL11" s="31"/>
      <c r="TEM11" s="31"/>
      <c r="TEN11" s="31"/>
      <c r="TEO11" s="31"/>
      <c r="TEP11" s="31"/>
      <c r="TEQ11" s="31"/>
      <c r="TER11" s="31"/>
      <c r="TES11" s="31"/>
      <c r="TET11" s="31"/>
      <c r="TEU11" s="31"/>
      <c r="TEV11" s="31"/>
      <c r="TEW11" s="31"/>
      <c r="TEX11" s="31"/>
      <c r="TEY11" s="31"/>
      <c r="TEZ11" s="31"/>
      <c r="TFA11" s="31"/>
      <c r="TFB11" s="31"/>
      <c r="TFC11" s="31"/>
      <c r="TFD11" s="31"/>
      <c r="TFE11" s="31"/>
      <c r="TFF11" s="31"/>
      <c r="TFG11" s="31"/>
      <c r="TFH11" s="31"/>
      <c r="TFI11" s="31"/>
      <c r="TFJ11" s="31"/>
      <c r="TFK11" s="31"/>
      <c r="TFL11" s="31"/>
      <c r="TFM11" s="31"/>
      <c r="TFN11" s="31"/>
      <c r="TFO11" s="31"/>
      <c r="TFP11" s="31"/>
      <c r="TFQ11" s="31"/>
      <c r="TFR11" s="31"/>
      <c r="TFS11" s="31"/>
      <c r="TFT11" s="31"/>
      <c r="TFU11" s="31"/>
      <c r="TFV11" s="31"/>
      <c r="TFW11" s="31"/>
      <c r="TFX11" s="31"/>
      <c r="TFY11" s="31"/>
      <c r="TFZ11" s="31"/>
      <c r="TGA11" s="31"/>
      <c r="TGB11" s="31"/>
      <c r="TGC11" s="31"/>
      <c r="TGD11" s="31"/>
      <c r="TGE11" s="31"/>
      <c r="TGF11" s="31"/>
      <c r="TGG11" s="31"/>
      <c r="TGH11" s="31"/>
      <c r="TGI11" s="31"/>
      <c r="TGJ11" s="31"/>
      <c r="TGK11" s="31"/>
      <c r="TGL11" s="31"/>
      <c r="TGM11" s="31"/>
      <c r="TGN11" s="31"/>
      <c r="TGO11" s="31"/>
      <c r="TGP11" s="31"/>
      <c r="TGQ11" s="31"/>
      <c r="TGR11" s="31"/>
      <c r="TGS11" s="31"/>
      <c r="TGT11" s="31"/>
      <c r="TGU11" s="31"/>
      <c r="TGV11" s="31"/>
      <c r="TGW11" s="31"/>
      <c r="TGX11" s="31"/>
      <c r="TGY11" s="31"/>
      <c r="TGZ11" s="31"/>
      <c r="THA11" s="31"/>
      <c r="THB11" s="31"/>
      <c r="THC11" s="31"/>
      <c r="THD11" s="31"/>
      <c r="THE11" s="31"/>
      <c r="THF11" s="31"/>
      <c r="THG11" s="31"/>
      <c r="THH11" s="31"/>
      <c r="THI11" s="31"/>
      <c r="THJ11" s="31"/>
      <c r="THK11" s="31"/>
      <c r="THL11" s="31"/>
      <c r="THM11" s="31"/>
      <c r="THN11" s="31"/>
      <c r="THO11" s="31"/>
      <c r="THP11" s="31"/>
      <c r="THQ11" s="31"/>
      <c r="THR11" s="31"/>
      <c r="THS11" s="31"/>
      <c r="THT11" s="31"/>
      <c r="THU11" s="31"/>
      <c r="THV11" s="31"/>
      <c r="THW11" s="31"/>
      <c r="THX11" s="31"/>
      <c r="THY11" s="31"/>
      <c r="THZ11" s="31"/>
      <c r="TIA11" s="31"/>
      <c r="TIB11" s="31"/>
      <c r="TIC11" s="31"/>
      <c r="TID11" s="31"/>
      <c r="TIE11" s="31"/>
      <c r="TIF11" s="31"/>
      <c r="TIG11" s="31"/>
      <c r="TIH11" s="31"/>
      <c r="TII11" s="31"/>
      <c r="TIJ11" s="31"/>
      <c r="TIK11" s="31"/>
      <c r="TIL11" s="31"/>
      <c r="TIM11" s="31"/>
      <c r="TIN11" s="31"/>
      <c r="TIO11" s="31"/>
      <c r="TIP11" s="31"/>
      <c r="TIQ11" s="31"/>
      <c r="TIR11" s="31"/>
      <c r="TIS11" s="31"/>
      <c r="TIT11" s="31"/>
      <c r="TIU11" s="31"/>
      <c r="TIV11" s="31"/>
      <c r="TIW11" s="31"/>
      <c r="TIX11" s="31"/>
      <c r="TIY11" s="31"/>
      <c r="TIZ11" s="31"/>
      <c r="TJA11" s="31"/>
      <c r="TJB11" s="31"/>
      <c r="TJC11" s="31"/>
      <c r="TJD11" s="31"/>
      <c r="TJE11" s="31"/>
      <c r="TJF11" s="31"/>
      <c r="TJG11" s="31"/>
      <c r="TJH11" s="31"/>
      <c r="TJI11" s="31"/>
      <c r="TJJ11" s="31"/>
      <c r="TJK11" s="31"/>
      <c r="TJL11" s="31"/>
      <c r="TJM11" s="31"/>
      <c r="TJN11" s="31"/>
      <c r="TJO11" s="31"/>
      <c r="TJP11" s="31"/>
      <c r="TJQ11" s="31"/>
      <c r="TJR11" s="31"/>
      <c r="TJS11" s="31"/>
      <c r="TJT11" s="31"/>
      <c r="TJU11" s="31"/>
      <c r="TJV11" s="31"/>
      <c r="TJW11" s="31"/>
      <c r="TJX11" s="31"/>
      <c r="TJY11" s="31"/>
      <c r="TJZ11" s="31"/>
      <c r="TKA11" s="31"/>
      <c r="TKB11" s="31"/>
      <c r="TKC11" s="31"/>
      <c r="TKD11" s="31"/>
      <c r="TKE11" s="31"/>
      <c r="TKF11" s="31"/>
      <c r="TKG11" s="31"/>
      <c r="TKH11" s="31"/>
      <c r="TKI11" s="31"/>
      <c r="TKJ11" s="31"/>
      <c r="TKK11" s="31"/>
      <c r="TKL11" s="31"/>
      <c r="TKM11" s="31"/>
      <c r="TKN11" s="31"/>
      <c r="TKO11" s="31"/>
      <c r="TKP11" s="31"/>
      <c r="TKQ11" s="31"/>
      <c r="TKR11" s="31"/>
      <c r="TKS11" s="31"/>
      <c r="TKT11" s="31"/>
      <c r="TKU11" s="31"/>
      <c r="TKV11" s="31"/>
      <c r="TKW11" s="31"/>
      <c r="TKX11" s="31"/>
      <c r="TKY11" s="31"/>
      <c r="TKZ11" s="31"/>
      <c r="TLA11" s="31"/>
      <c r="TLB11" s="31"/>
      <c r="TLC11" s="31"/>
      <c r="TLD11" s="31"/>
      <c r="TLE11" s="31"/>
      <c r="TLF11" s="31"/>
      <c r="TLG11" s="31"/>
      <c r="TLH11" s="31"/>
      <c r="TLI11" s="31"/>
      <c r="TLJ11" s="31"/>
      <c r="TLK11" s="31"/>
      <c r="TLL11" s="31"/>
      <c r="TLM11" s="31"/>
      <c r="TLN11" s="31"/>
      <c r="TLO11" s="31"/>
      <c r="TLP11" s="31"/>
      <c r="TLQ11" s="31"/>
      <c r="TLR11" s="31"/>
      <c r="TLS11" s="31"/>
      <c r="TLT11" s="31"/>
      <c r="TLU11" s="31"/>
      <c r="TLV11" s="31"/>
      <c r="TLW11" s="31"/>
      <c r="TLX11" s="31"/>
      <c r="TLY11" s="31"/>
      <c r="TLZ11" s="31"/>
      <c r="TMA11" s="31"/>
      <c r="TMB11" s="31"/>
      <c r="TMC11" s="31"/>
      <c r="TMD11" s="31"/>
      <c r="TME11" s="31"/>
      <c r="TMF11" s="31"/>
      <c r="TMG11" s="31"/>
      <c r="TMH11" s="31"/>
      <c r="TMI11" s="31"/>
      <c r="TMJ11" s="31"/>
      <c r="TMK11" s="31"/>
      <c r="TML11" s="31"/>
      <c r="TMM11" s="31"/>
      <c r="TMN11" s="31"/>
      <c r="TMO11" s="31"/>
      <c r="TMP11" s="31"/>
      <c r="TMQ11" s="31"/>
      <c r="TMR11" s="31"/>
      <c r="TMS11" s="31"/>
      <c r="TMT11" s="31"/>
      <c r="TMU11" s="31"/>
      <c r="TMV11" s="31"/>
      <c r="TMW11" s="31"/>
      <c r="TMX11" s="31"/>
      <c r="TMY11" s="31"/>
      <c r="TMZ11" s="31"/>
      <c r="TNA11" s="31"/>
      <c r="TNB11" s="31"/>
      <c r="TNC11" s="31"/>
      <c r="TND11" s="31"/>
      <c r="TNE11" s="31"/>
      <c r="TNF11" s="31"/>
      <c r="TNG11" s="31"/>
      <c r="TNH11" s="31"/>
      <c r="TNI11" s="31"/>
      <c r="TNJ11" s="31"/>
      <c r="TNK11" s="31"/>
      <c r="TNL11" s="31"/>
      <c r="TNM11" s="31"/>
      <c r="TNN11" s="31"/>
      <c r="TNO11" s="31"/>
      <c r="TNP11" s="31"/>
      <c r="TNQ11" s="31"/>
      <c r="TNR11" s="31"/>
      <c r="TNS11" s="31"/>
      <c r="TNT11" s="31"/>
      <c r="TNU11" s="31"/>
      <c r="TNV11" s="31"/>
      <c r="TNW11" s="31"/>
      <c r="TNX11" s="31"/>
      <c r="TNY11" s="31"/>
      <c r="TNZ11" s="31"/>
      <c r="TOA11" s="31"/>
      <c r="TOB11" s="31"/>
      <c r="TOC11" s="31"/>
      <c r="TOD11" s="31"/>
      <c r="TOE11" s="31"/>
      <c r="TOF11" s="31"/>
      <c r="TOG11" s="31"/>
      <c r="TOH11" s="31"/>
      <c r="TOI11" s="31"/>
      <c r="TOJ11" s="31"/>
      <c r="TOK11" s="31"/>
      <c r="TOL11" s="31"/>
      <c r="TOM11" s="31"/>
      <c r="TON11" s="31"/>
      <c r="TOO11" s="31"/>
      <c r="TOP11" s="31"/>
      <c r="TOQ11" s="31"/>
      <c r="TOR11" s="31"/>
      <c r="TOS11" s="31"/>
      <c r="TOT11" s="31"/>
      <c r="TOU11" s="31"/>
      <c r="TOV11" s="31"/>
      <c r="TOW11" s="31"/>
      <c r="TOX11" s="31"/>
      <c r="TOY11" s="31"/>
      <c r="TOZ11" s="31"/>
      <c r="TPA11" s="31"/>
      <c r="TPB11" s="31"/>
      <c r="TPC11" s="31"/>
      <c r="TPD11" s="31"/>
      <c r="TPE11" s="31"/>
      <c r="TPF11" s="31"/>
      <c r="TPG11" s="31"/>
      <c r="TPH11" s="31"/>
      <c r="TPI11" s="31"/>
      <c r="TPJ11" s="31"/>
      <c r="TPK11" s="31"/>
      <c r="TPL11" s="31"/>
      <c r="TPM11" s="31"/>
      <c r="TPN11" s="31"/>
      <c r="TPO11" s="31"/>
      <c r="TPP11" s="31"/>
      <c r="TPQ11" s="31"/>
      <c r="TPR11" s="31"/>
      <c r="TPS11" s="31"/>
      <c r="TPT11" s="31"/>
      <c r="TPU11" s="31"/>
      <c r="TPV11" s="31"/>
      <c r="TPW11" s="31"/>
      <c r="TPX11" s="31"/>
      <c r="TPY11" s="31"/>
      <c r="TPZ11" s="31"/>
      <c r="TQA11" s="31"/>
      <c r="TQB11" s="31"/>
      <c r="TQC11" s="31"/>
      <c r="TQD11" s="31"/>
      <c r="TQE11" s="31"/>
      <c r="TQF11" s="31"/>
      <c r="TQG11" s="31"/>
      <c r="TQH11" s="31"/>
      <c r="TQI11" s="31"/>
      <c r="TQJ11" s="31"/>
      <c r="TQK11" s="31"/>
      <c r="TQL11" s="31"/>
      <c r="TQM11" s="31"/>
      <c r="TQN11" s="31"/>
      <c r="TQO11" s="31"/>
      <c r="TQP11" s="31"/>
      <c r="TQQ11" s="31"/>
      <c r="TQR11" s="31"/>
      <c r="TQS11" s="31"/>
      <c r="TQT11" s="31"/>
      <c r="TQU11" s="31"/>
      <c r="TQV11" s="31"/>
      <c r="TQW11" s="31"/>
      <c r="TQX11" s="31"/>
      <c r="TQY11" s="31"/>
      <c r="TQZ11" s="31"/>
      <c r="TRA11" s="31"/>
      <c r="TRB11" s="31"/>
      <c r="TRC11" s="31"/>
      <c r="TRD11" s="31"/>
      <c r="TRE11" s="31"/>
      <c r="TRF11" s="31"/>
      <c r="TRG11" s="31"/>
      <c r="TRH11" s="31"/>
      <c r="TRI11" s="31"/>
      <c r="TRJ11" s="31"/>
      <c r="TRK11" s="31"/>
      <c r="TRL11" s="31"/>
      <c r="TRM11" s="31"/>
      <c r="TRN11" s="31"/>
      <c r="TRO11" s="31"/>
      <c r="TRP11" s="31"/>
      <c r="TRQ11" s="31"/>
      <c r="TRR11" s="31"/>
      <c r="TRS11" s="31"/>
      <c r="TRT11" s="31"/>
      <c r="TRU11" s="31"/>
      <c r="TRV11" s="31"/>
      <c r="TRW11" s="31"/>
      <c r="TRX11" s="31"/>
      <c r="TRY11" s="31"/>
      <c r="TRZ11" s="31"/>
      <c r="TSA11" s="31"/>
      <c r="TSB11" s="31"/>
      <c r="TSC11" s="31"/>
      <c r="TSD11" s="31"/>
      <c r="TSE11" s="31"/>
      <c r="TSF11" s="31"/>
      <c r="TSG11" s="31"/>
      <c r="TSH11" s="31"/>
      <c r="TSI11" s="31"/>
      <c r="TSJ11" s="31"/>
      <c r="TSK11" s="31"/>
      <c r="TSL11" s="31"/>
      <c r="TSM11" s="31"/>
      <c r="TSN11" s="31"/>
      <c r="TSO11" s="31"/>
      <c r="TSP11" s="31"/>
      <c r="TSQ11" s="31"/>
      <c r="TSR11" s="31"/>
      <c r="TSS11" s="31"/>
      <c r="TST11" s="31"/>
      <c r="TSU11" s="31"/>
      <c r="TSV11" s="31"/>
      <c r="TSW11" s="31"/>
      <c r="TSX11" s="31"/>
      <c r="TSY11" s="31"/>
      <c r="TSZ11" s="31"/>
      <c r="TTA11" s="31"/>
      <c r="TTB11" s="31"/>
      <c r="TTC11" s="31"/>
      <c r="TTD11" s="31"/>
      <c r="TTE11" s="31"/>
      <c r="TTF11" s="31"/>
      <c r="TTG11" s="31"/>
      <c r="TTH11" s="31"/>
      <c r="TTI11" s="31"/>
      <c r="TTJ11" s="31"/>
      <c r="TTK11" s="31"/>
      <c r="TTL11" s="31"/>
      <c r="TTM11" s="31"/>
      <c r="TTN11" s="31"/>
      <c r="TTO11" s="31"/>
      <c r="TTP11" s="31"/>
      <c r="TTQ11" s="31"/>
      <c r="TTR11" s="31"/>
      <c r="TTS11" s="31"/>
      <c r="TTT11" s="31"/>
      <c r="TTU11" s="31"/>
      <c r="TTV11" s="31"/>
      <c r="TTW11" s="31"/>
      <c r="TTX11" s="31"/>
      <c r="TTY11" s="31"/>
      <c r="TTZ11" s="31"/>
      <c r="TUA11" s="31"/>
      <c r="TUB11" s="31"/>
      <c r="TUC11" s="31"/>
      <c r="TUD11" s="31"/>
      <c r="TUE11" s="31"/>
      <c r="TUF11" s="31"/>
      <c r="TUG11" s="31"/>
      <c r="TUH11" s="31"/>
      <c r="TUI11" s="31"/>
      <c r="TUJ11" s="31"/>
      <c r="TUK11" s="31"/>
      <c r="TUL11" s="31"/>
      <c r="TUM11" s="31"/>
      <c r="TUN11" s="31"/>
      <c r="TUO11" s="31"/>
      <c r="TUP11" s="31"/>
      <c r="TUQ11" s="31"/>
      <c r="TUR11" s="31"/>
      <c r="TUS11" s="31"/>
      <c r="TUT11" s="31"/>
      <c r="TUU11" s="31"/>
      <c r="TUV11" s="31"/>
      <c r="TUW11" s="31"/>
      <c r="TUX11" s="31"/>
      <c r="TUY11" s="31"/>
      <c r="TUZ11" s="31"/>
      <c r="TVA11" s="31"/>
      <c r="TVB11" s="31"/>
      <c r="TVC11" s="31"/>
      <c r="TVD11" s="31"/>
      <c r="TVE11" s="31"/>
      <c r="TVF11" s="31"/>
      <c r="TVG11" s="31"/>
      <c r="TVH11" s="31"/>
      <c r="TVI11" s="31"/>
      <c r="TVJ11" s="31"/>
      <c r="TVK11" s="31"/>
      <c r="TVL11" s="31"/>
      <c r="TVM11" s="31"/>
      <c r="TVN11" s="31"/>
      <c r="TVO11" s="31"/>
      <c r="TVP11" s="31"/>
      <c r="TVQ11" s="31"/>
      <c r="TVR11" s="31"/>
      <c r="TVS11" s="31"/>
      <c r="TVT11" s="31"/>
      <c r="TVU11" s="31"/>
      <c r="TVV11" s="31"/>
      <c r="TVW11" s="31"/>
      <c r="TVX11" s="31"/>
      <c r="TVY11" s="31"/>
      <c r="TVZ11" s="31"/>
      <c r="TWA11" s="31"/>
      <c r="TWB11" s="31"/>
      <c r="TWC11" s="31"/>
      <c r="TWD11" s="31"/>
      <c r="TWE11" s="31"/>
      <c r="TWF11" s="31"/>
      <c r="TWG11" s="31"/>
      <c r="TWH11" s="31"/>
      <c r="TWI11" s="31"/>
      <c r="TWJ11" s="31"/>
      <c r="TWK11" s="31"/>
      <c r="TWL11" s="31"/>
      <c r="TWM11" s="31"/>
      <c r="TWN11" s="31"/>
      <c r="TWO11" s="31"/>
      <c r="TWP11" s="31"/>
      <c r="TWQ11" s="31"/>
      <c r="TWR11" s="31"/>
      <c r="TWS11" s="31"/>
      <c r="TWT11" s="31"/>
      <c r="TWU11" s="31"/>
      <c r="TWV11" s="31"/>
      <c r="TWW11" s="31"/>
      <c r="TWX11" s="31"/>
      <c r="TWY11" s="31"/>
      <c r="TWZ11" s="31"/>
      <c r="TXA11" s="31"/>
      <c r="TXB11" s="31"/>
      <c r="TXC11" s="31"/>
      <c r="TXD11" s="31"/>
      <c r="TXE11" s="31"/>
      <c r="TXF11" s="31"/>
      <c r="TXG11" s="31"/>
      <c r="TXH11" s="31"/>
      <c r="TXI11" s="31"/>
      <c r="TXJ11" s="31"/>
      <c r="TXK11" s="31"/>
      <c r="TXL11" s="31"/>
      <c r="TXM11" s="31"/>
      <c r="TXN11" s="31"/>
      <c r="TXO11" s="31"/>
      <c r="TXP11" s="31"/>
      <c r="TXQ11" s="31"/>
      <c r="TXR11" s="31"/>
      <c r="TXS11" s="31"/>
      <c r="TXT11" s="31"/>
      <c r="TXU11" s="31"/>
      <c r="TXV11" s="31"/>
      <c r="TXW11" s="31"/>
      <c r="TXX11" s="31"/>
      <c r="TXY11" s="31"/>
      <c r="TXZ11" s="31"/>
      <c r="TYA11" s="31"/>
      <c r="TYB11" s="31"/>
      <c r="TYC11" s="31"/>
      <c r="TYD11" s="31"/>
      <c r="TYE11" s="31"/>
      <c r="TYF11" s="31"/>
      <c r="TYG11" s="31"/>
      <c r="TYH11" s="31"/>
      <c r="TYI11" s="31"/>
      <c r="TYJ11" s="31"/>
      <c r="TYK11" s="31"/>
      <c r="TYL11" s="31"/>
      <c r="TYM11" s="31"/>
      <c r="TYN11" s="31"/>
      <c r="TYO11" s="31"/>
      <c r="TYP11" s="31"/>
      <c r="TYQ11" s="31"/>
      <c r="TYR11" s="31"/>
      <c r="TYS11" s="31"/>
      <c r="TYT11" s="31"/>
      <c r="TYU11" s="31"/>
      <c r="TYV11" s="31"/>
      <c r="TYW11" s="31"/>
      <c r="TYX11" s="31"/>
      <c r="TYY11" s="31"/>
      <c r="TYZ11" s="31"/>
      <c r="TZA11" s="31"/>
      <c r="TZB11" s="31"/>
      <c r="TZC11" s="31"/>
      <c r="TZD11" s="31"/>
      <c r="TZE11" s="31"/>
      <c r="TZF11" s="31"/>
      <c r="TZG11" s="31"/>
      <c r="TZH11" s="31"/>
      <c r="TZI11" s="31"/>
      <c r="TZJ11" s="31"/>
      <c r="TZK11" s="31"/>
      <c r="TZL11" s="31"/>
      <c r="TZM11" s="31"/>
      <c r="TZN11" s="31"/>
      <c r="TZO11" s="31"/>
      <c r="TZP11" s="31"/>
      <c r="TZQ11" s="31"/>
      <c r="TZR11" s="31"/>
      <c r="TZS11" s="31"/>
      <c r="TZT11" s="31"/>
      <c r="TZU11" s="31"/>
      <c r="TZV11" s="31"/>
      <c r="TZW11" s="31"/>
      <c r="TZX11" s="31"/>
      <c r="TZY11" s="31"/>
      <c r="TZZ11" s="31"/>
      <c r="UAA11" s="31"/>
      <c r="UAB11" s="31"/>
      <c r="UAC11" s="31"/>
      <c r="UAD11" s="31"/>
      <c r="UAE11" s="31"/>
      <c r="UAF11" s="31"/>
      <c r="UAG11" s="31"/>
      <c r="UAH11" s="31"/>
      <c r="UAI11" s="31"/>
      <c r="UAJ11" s="31"/>
      <c r="UAK11" s="31"/>
      <c r="UAL11" s="31"/>
      <c r="UAM11" s="31"/>
      <c r="UAN11" s="31"/>
      <c r="UAO11" s="31"/>
      <c r="UAP11" s="31"/>
      <c r="UAQ11" s="31"/>
      <c r="UAR11" s="31"/>
      <c r="UAS11" s="31"/>
      <c r="UAT11" s="31"/>
      <c r="UAU11" s="31"/>
      <c r="UAV11" s="31"/>
      <c r="UAW11" s="31"/>
      <c r="UAX11" s="31"/>
      <c r="UAY11" s="31"/>
      <c r="UAZ11" s="31"/>
      <c r="UBA11" s="31"/>
      <c r="UBB11" s="31"/>
      <c r="UBC11" s="31"/>
      <c r="UBD11" s="31"/>
      <c r="UBE11" s="31"/>
      <c r="UBF11" s="31"/>
      <c r="UBG11" s="31"/>
      <c r="UBH11" s="31"/>
      <c r="UBI11" s="31"/>
      <c r="UBJ11" s="31"/>
      <c r="UBK11" s="31"/>
      <c r="UBL11" s="31"/>
      <c r="UBM11" s="31"/>
      <c r="UBN11" s="31"/>
      <c r="UBO11" s="31"/>
      <c r="UBP11" s="31"/>
      <c r="UBQ11" s="31"/>
      <c r="UBR11" s="31"/>
      <c r="UBS11" s="31"/>
      <c r="UBT11" s="31"/>
      <c r="UBU11" s="31"/>
      <c r="UBV11" s="31"/>
      <c r="UBW11" s="31"/>
      <c r="UBX11" s="31"/>
      <c r="UBY11" s="31"/>
      <c r="UBZ11" s="31"/>
      <c r="UCA11" s="31"/>
      <c r="UCB11" s="31"/>
      <c r="UCC11" s="31"/>
      <c r="UCD11" s="31"/>
      <c r="UCE11" s="31"/>
      <c r="UCF11" s="31"/>
      <c r="UCG11" s="31"/>
      <c r="UCH11" s="31"/>
      <c r="UCI11" s="31"/>
      <c r="UCJ11" s="31"/>
      <c r="UCK11" s="31"/>
      <c r="UCL11" s="31"/>
      <c r="UCM11" s="31"/>
      <c r="UCN11" s="31"/>
      <c r="UCO11" s="31"/>
      <c r="UCP11" s="31"/>
      <c r="UCQ11" s="31"/>
      <c r="UCR11" s="31"/>
      <c r="UCS11" s="31"/>
      <c r="UCT11" s="31"/>
      <c r="UCU11" s="31"/>
      <c r="UCV11" s="31"/>
      <c r="UCW11" s="31"/>
      <c r="UCX11" s="31"/>
      <c r="UCY11" s="31"/>
      <c r="UCZ11" s="31"/>
      <c r="UDA11" s="31"/>
      <c r="UDB11" s="31"/>
      <c r="UDC11" s="31"/>
      <c r="UDD11" s="31"/>
      <c r="UDE11" s="31"/>
      <c r="UDF11" s="31"/>
      <c r="UDG11" s="31"/>
      <c r="UDH11" s="31"/>
      <c r="UDI11" s="31"/>
      <c r="UDJ11" s="31"/>
      <c r="UDK11" s="31"/>
      <c r="UDL11" s="31"/>
      <c r="UDM11" s="31"/>
      <c r="UDN11" s="31"/>
      <c r="UDO11" s="31"/>
      <c r="UDP11" s="31"/>
      <c r="UDQ11" s="31"/>
      <c r="UDR11" s="31"/>
      <c r="UDS11" s="31"/>
      <c r="UDT11" s="31"/>
      <c r="UDU11" s="31"/>
      <c r="UDV11" s="31"/>
      <c r="UDW11" s="31"/>
      <c r="UDX11" s="31"/>
      <c r="UDY11" s="31"/>
      <c r="UDZ11" s="31"/>
      <c r="UEA11" s="31"/>
      <c r="UEB11" s="31"/>
      <c r="UEC11" s="31"/>
      <c r="UED11" s="31"/>
      <c r="UEE11" s="31"/>
      <c r="UEF11" s="31"/>
      <c r="UEG11" s="31"/>
      <c r="UEH11" s="31"/>
      <c r="UEI11" s="31"/>
      <c r="UEJ11" s="31"/>
      <c r="UEK11" s="31"/>
      <c r="UEL11" s="31"/>
      <c r="UEM11" s="31"/>
      <c r="UEN11" s="31"/>
      <c r="UEO11" s="31"/>
      <c r="UEP11" s="31"/>
      <c r="UEQ11" s="31"/>
      <c r="UER11" s="31"/>
      <c r="UES11" s="31"/>
      <c r="UET11" s="31"/>
      <c r="UEU11" s="31"/>
      <c r="UEV11" s="31"/>
      <c r="UEW11" s="31"/>
      <c r="UEX11" s="31"/>
      <c r="UEY11" s="31"/>
      <c r="UEZ11" s="31"/>
      <c r="UFA11" s="31"/>
      <c r="UFB11" s="31"/>
      <c r="UFC11" s="31"/>
      <c r="UFD11" s="31"/>
      <c r="UFE11" s="31"/>
      <c r="UFF11" s="31"/>
      <c r="UFG11" s="31"/>
      <c r="UFH11" s="31"/>
      <c r="UFI11" s="31"/>
      <c r="UFJ11" s="31"/>
      <c r="UFK11" s="31"/>
      <c r="UFL11" s="31"/>
      <c r="UFM11" s="31"/>
      <c r="UFN11" s="31"/>
      <c r="UFO11" s="31"/>
      <c r="UFP11" s="31"/>
      <c r="UFQ11" s="31"/>
      <c r="UFR11" s="31"/>
      <c r="UFS11" s="31"/>
      <c r="UFT11" s="31"/>
      <c r="UFU11" s="31"/>
      <c r="UFV11" s="31"/>
      <c r="UFW11" s="31"/>
      <c r="UFX11" s="31"/>
      <c r="UFY11" s="31"/>
      <c r="UFZ11" s="31"/>
      <c r="UGA11" s="31"/>
      <c r="UGB11" s="31"/>
      <c r="UGC11" s="31"/>
      <c r="UGD11" s="31"/>
      <c r="UGE11" s="31"/>
      <c r="UGF11" s="31"/>
      <c r="UGG11" s="31"/>
      <c r="UGH11" s="31"/>
      <c r="UGI11" s="31"/>
      <c r="UGJ11" s="31"/>
      <c r="UGK11" s="31"/>
      <c r="UGL11" s="31"/>
      <c r="UGM11" s="31"/>
      <c r="UGN11" s="31"/>
      <c r="UGO11" s="31"/>
      <c r="UGP11" s="31"/>
      <c r="UGQ11" s="31"/>
      <c r="UGR11" s="31"/>
      <c r="UGS11" s="31"/>
      <c r="UGT11" s="31"/>
      <c r="UGU11" s="31"/>
      <c r="UGV11" s="31"/>
      <c r="UGW11" s="31"/>
      <c r="UGX11" s="31"/>
      <c r="UGY11" s="31"/>
      <c r="UGZ11" s="31"/>
      <c r="UHA11" s="31"/>
      <c r="UHB11" s="31"/>
      <c r="UHC11" s="31"/>
      <c r="UHD11" s="31"/>
      <c r="UHE11" s="31"/>
      <c r="UHF11" s="31"/>
      <c r="UHG11" s="31"/>
      <c r="UHH11" s="31"/>
      <c r="UHI11" s="31"/>
      <c r="UHJ11" s="31"/>
      <c r="UHK11" s="31"/>
      <c r="UHL11" s="31"/>
      <c r="UHM11" s="31"/>
      <c r="UHN11" s="31"/>
      <c r="UHO11" s="31"/>
      <c r="UHP11" s="31"/>
      <c r="UHQ11" s="31"/>
      <c r="UHR11" s="31"/>
      <c r="UHS11" s="31"/>
      <c r="UHT11" s="31"/>
      <c r="UHU11" s="31"/>
      <c r="UHV11" s="31"/>
      <c r="UHW11" s="31"/>
      <c r="UHX11" s="31"/>
      <c r="UHY11" s="31"/>
      <c r="UHZ11" s="31"/>
      <c r="UIA11" s="31"/>
      <c r="UIB11" s="31"/>
      <c r="UIC11" s="31"/>
      <c r="UID11" s="31"/>
      <c r="UIE11" s="31"/>
      <c r="UIF11" s="31"/>
      <c r="UIG11" s="31"/>
      <c r="UIH11" s="31"/>
      <c r="UII11" s="31"/>
      <c r="UIJ11" s="31"/>
      <c r="UIK11" s="31"/>
      <c r="UIL11" s="31"/>
      <c r="UIM11" s="31"/>
      <c r="UIN11" s="31"/>
      <c r="UIO11" s="31"/>
      <c r="UIP11" s="31"/>
      <c r="UIQ11" s="31"/>
      <c r="UIR11" s="31"/>
      <c r="UIS11" s="31"/>
      <c r="UIT11" s="31"/>
      <c r="UIU11" s="31"/>
      <c r="UIV11" s="31"/>
      <c r="UIW11" s="31"/>
      <c r="UIX11" s="31"/>
      <c r="UIY11" s="31"/>
      <c r="UIZ11" s="31"/>
      <c r="UJA11" s="31"/>
      <c r="UJB11" s="31"/>
      <c r="UJC11" s="31"/>
      <c r="UJD11" s="31"/>
      <c r="UJE11" s="31"/>
      <c r="UJF11" s="31"/>
      <c r="UJG11" s="31"/>
      <c r="UJH11" s="31"/>
      <c r="UJI11" s="31"/>
      <c r="UJJ11" s="31"/>
      <c r="UJK11" s="31"/>
      <c r="UJL11" s="31"/>
      <c r="UJM11" s="31"/>
      <c r="UJN11" s="31"/>
      <c r="UJO11" s="31"/>
      <c r="UJP11" s="31"/>
      <c r="UJQ11" s="31"/>
      <c r="UJR11" s="31"/>
      <c r="UJS11" s="31"/>
      <c r="UJT11" s="31"/>
      <c r="UJU11" s="31"/>
      <c r="UJV11" s="31"/>
      <c r="UJW11" s="31"/>
      <c r="UJX11" s="31"/>
      <c r="UJY11" s="31"/>
      <c r="UJZ11" s="31"/>
      <c r="UKA11" s="31"/>
      <c r="UKB11" s="31"/>
      <c r="UKC11" s="31"/>
      <c r="UKD11" s="31"/>
      <c r="UKE11" s="31"/>
      <c r="UKF11" s="31"/>
      <c r="UKG11" s="31"/>
      <c r="UKH11" s="31"/>
      <c r="UKI11" s="31"/>
      <c r="UKJ11" s="31"/>
      <c r="UKK11" s="31"/>
      <c r="UKL11" s="31"/>
      <c r="UKM11" s="31"/>
      <c r="UKN11" s="31"/>
      <c r="UKO11" s="31"/>
      <c r="UKP11" s="31"/>
      <c r="UKQ11" s="31"/>
      <c r="UKR11" s="31"/>
      <c r="UKS11" s="31"/>
      <c r="UKT11" s="31"/>
      <c r="UKU11" s="31"/>
      <c r="UKV11" s="31"/>
      <c r="UKW11" s="31"/>
      <c r="UKX11" s="31"/>
      <c r="UKY11" s="31"/>
      <c r="UKZ11" s="31"/>
      <c r="ULA11" s="31"/>
      <c r="ULB11" s="31"/>
      <c r="ULC11" s="31"/>
      <c r="ULD11" s="31"/>
      <c r="ULE11" s="31"/>
      <c r="ULF11" s="31"/>
      <c r="ULG11" s="31"/>
      <c r="ULH11" s="31"/>
      <c r="ULI11" s="31"/>
      <c r="ULJ11" s="31"/>
      <c r="ULK11" s="31"/>
      <c r="ULL11" s="31"/>
      <c r="ULM11" s="31"/>
      <c r="ULN11" s="31"/>
      <c r="ULO11" s="31"/>
      <c r="ULP11" s="31"/>
      <c r="ULQ11" s="31"/>
      <c r="ULR11" s="31"/>
      <c r="ULS11" s="31"/>
      <c r="ULT11" s="31"/>
      <c r="ULU11" s="31"/>
      <c r="ULV11" s="31"/>
      <c r="ULW11" s="31"/>
      <c r="ULX11" s="31"/>
      <c r="ULY11" s="31"/>
      <c r="ULZ11" s="31"/>
      <c r="UMA11" s="31"/>
      <c r="UMB11" s="31"/>
      <c r="UMC11" s="31"/>
      <c r="UMD11" s="31"/>
      <c r="UME11" s="31"/>
      <c r="UMF11" s="31"/>
      <c r="UMG11" s="31"/>
      <c r="UMH11" s="31"/>
      <c r="UMI11" s="31"/>
      <c r="UMJ11" s="31"/>
      <c r="UMK11" s="31"/>
      <c r="UML11" s="31"/>
      <c r="UMM11" s="31"/>
      <c r="UMN11" s="31"/>
      <c r="UMO11" s="31"/>
      <c r="UMP11" s="31"/>
      <c r="UMQ11" s="31"/>
      <c r="UMR11" s="31"/>
      <c r="UMS11" s="31"/>
      <c r="UMT11" s="31"/>
      <c r="UMU11" s="31"/>
      <c r="UMV11" s="31"/>
      <c r="UMW11" s="31"/>
      <c r="UMX11" s="31"/>
      <c r="UMY11" s="31"/>
      <c r="UMZ11" s="31"/>
      <c r="UNA11" s="31"/>
      <c r="UNB11" s="31"/>
      <c r="UNC11" s="31"/>
      <c r="UND11" s="31"/>
      <c r="UNE11" s="31"/>
      <c r="UNF11" s="31"/>
      <c r="UNG11" s="31"/>
      <c r="UNH11" s="31"/>
      <c r="UNI11" s="31"/>
      <c r="UNJ11" s="31"/>
      <c r="UNK11" s="31"/>
      <c r="UNL11" s="31"/>
      <c r="UNM11" s="31"/>
      <c r="UNN11" s="31"/>
      <c r="UNO11" s="31"/>
      <c r="UNP11" s="31"/>
      <c r="UNQ11" s="31"/>
      <c r="UNR11" s="31"/>
      <c r="UNS11" s="31"/>
      <c r="UNT11" s="31"/>
      <c r="UNU11" s="31"/>
      <c r="UNV11" s="31"/>
      <c r="UNW11" s="31"/>
      <c r="UNX11" s="31"/>
      <c r="UNY11" s="31"/>
      <c r="UNZ11" s="31"/>
      <c r="UOA11" s="31"/>
      <c r="UOB11" s="31"/>
      <c r="UOC11" s="31"/>
      <c r="UOD11" s="31"/>
      <c r="UOE11" s="31"/>
      <c r="UOF11" s="31"/>
      <c r="UOG11" s="31"/>
      <c r="UOH11" s="31"/>
      <c r="UOI11" s="31"/>
      <c r="UOJ11" s="31"/>
      <c r="UOK11" s="31"/>
      <c r="UOL11" s="31"/>
      <c r="UOM11" s="31"/>
      <c r="UON11" s="31"/>
      <c r="UOO11" s="31"/>
      <c r="UOP11" s="31"/>
      <c r="UOQ11" s="31"/>
      <c r="UOR11" s="31"/>
      <c r="UOS11" s="31"/>
      <c r="UOT11" s="31"/>
      <c r="UOU11" s="31"/>
      <c r="UOV11" s="31"/>
      <c r="UOW11" s="31"/>
      <c r="UOX11" s="31"/>
      <c r="UOY11" s="31"/>
      <c r="UOZ11" s="31"/>
      <c r="UPA11" s="31"/>
      <c r="UPB11" s="31"/>
      <c r="UPC11" s="31"/>
      <c r="UPD11" s="31"/>
      <c r="UPE11" s="31"/>
      <c r="UPF11" s="31"/>
      <c r="UPG11" s="31"/>
      <c r="UPH11" s="31"/>
      <c r="UPI11" s="31"/>
      <c r="UPJ11" s="31"/>
      <c r="UPK11" s="31"/>
      <c r="UPL11" s="31"/>
      <c r="UPM11" s="31"/>
      <c r="UPN11" s="31"/>
      <c r="UPO11" s="31"/>
      <c r="UPP11" s="31"/>
      <c r="UPQ11" s="31"/>
      <c r="UPR11" s="31"/>
      <c r="UPS11" s="31"/>
      <c r="UPT11" s="31"/>
      <c r="UPU11" s="31"/>
      <c r="UPV11" s="31"/>
      <c r="UPW11" s="31"/>
      <c r="UPX11" s="31"/>
      <c r="UPY11" s="31"/>
      <c r="UPZ11" s="31"/>
      <c r="UQA11" s="31"/>
      <c r="UQB11" s="31"/>
      <c r="UQC11" s="31"/>
      <c r="UQD11" s="31"/>
      <c r="UQE11" s="31"/>
      <c r="UQF11" s="31"/>
      <c r="UQG11" s="31"/>
      <c r="UQH11" s="31"/>
      <c r="UQI11" s="31"/>
      <c r="UQJ11" s="31"/>
      <c r="UQK11" s="31"/>
      <c r="UQL11" s="31"/>
      <c r="UQM11" s="31"/>
      <c r="UQN11" s="31"/>
      <c r="UQO11" s="31"/>
      <c r="UQP11" s="31"/>
      <c r="UQQ11" s="31"/>
      <c r="UQR11" s="31"/>
      <c r="UQS11" s="31"/>
      <c r="UQT11" s="31"/>
      <c r="UQU11" s="31"/>
      <c r="UQV11" s="31"/>
      <c r="UQW11" s="31"/>
      <c r="UQX11" s="31"/>
      <c r="UQY11" s="31"/>
      <c r="UQZ11" s="31"/>
      <c r="URA11" s="31"/>
      <c r="URB11" s="31"/>
      <c r="URC11" s="31"/>
      <c r="URD11" s="31"/>
      <c r="URE11" s="31"/>
      <c r="URF11" s="31"/>
      <c r="URG11" s="31"/>
      <c r="URH11" s="31"/>
      <c r="URI11" s="31"/>
      <c r="URJ11" s="31"/>
      <c r="URK11" s="31"/>
      <c r="URL11" s="31"/>
      <c r="URM11" s="31"/>
      <c r="URN11" s="31"/>
      <c r="URO11" s="31"/>
      <c r="URP11" s="31"/>
      <c r="URQ11" s="31"/>
      <c r="URR11" s="31"/>
      <c r="URS11" s="31"/>
      <c r="URT11" s="31"/>
      <c r="URU11" s="31"/>
      <c r="URV11" s="31"/>
      <c r="URW11" s="31"/>
      <c r="URX11" s="31"/>
      <c r="URY11" s="31"/>
      <c r="URZ11" s="31"/>
      <c r="USA11" s="31"/>
      <c r="USB11" s="31"/>
      <c r="USC11" s="31"/>
      <c r="USD11" s="31"/>
      <c r="USE11" s="31"/>
      <c r="USF11" s="31"/>
      <c r="USG11" s="31"/>
      <c r="USH11" s="31"/>
      <c r="USI11" s="31"/>
      <c r="USJ11" s="31"/>
      <c r="USK11" s="31"/>
      <c r="USL11" s="31"/>
      <c r="USM11" s="31"/>
      <c r="USN11" s="31"/>
      <c r="USO11" s="31"/>
      <c r="USP11" s="31"/>
      <c r="USQ11" s="31"/>
      <c r="USR11" s="31"/>
      <c r="USS11" s="31"/>
      <c r="UST11" s="31"/>
      <c r="USU11" s="31"/>
      <c r="USV11" s="31"/>
      <c r="USW11" s="31"/>
      <c r="USX11" s="31"/>
      <c r="USY11" s="31"/>
      <c r="USZ11" s="31"/>
      <c r="UTA11" s="31"/>
      <c r="UTB11" s="31"/>
      <c r="UTC11" s="31"/>
      <c r="UTD11" s="31"/>
      <c r="UTE11" s="31"/>
      <c r="UTF11" s="31"/>
      <c r="UTG11" s="31"/>
      <c r="UTH11" s="31"/>
      <c r="UTI11" s="31"/>
      <c r="UTJ11" s="31"/>
      <c r="UTK11" s="31"/>
      <c r="UTL11" s="31"/>
      <c r="UTM11" s="31"/>
      <c r="UTN11" s="31"/>
      <c r="UTO11" s="31"/>
      <c r="UTP11" s="31"/>
      <c r="UTQ11" s="31"/>
      <c r="UTR11" s="31"/>
      <c r="UTS11" s="31"/>
      <c r="UTT11" s="31"/>
      <c r="UTU11" s="31"/>
      <c r="UTV11" s="31"/>
      <c r="UTW11" s="31"/>
      <c r="UTX11" s="31"/>
      <c r="UTY11" s="31"/>
      <c r="UTZ11" s="31"/>
      <c r="UUA11" s="31"/>
      <c r="UUB11" s="31"/>
      <c r="UUC11" s="31"/>
      <c r="UUD11" s="31"/>
      <c r="UUE11" s="31"/>
      <c r="UUF11" s="31"/>
      <c r="UUG11" s="31"/>
      <c r="UUH11" s="31"/>
      <c r="UUI11" s="31"/>
      <c r="UUJ11" s="31"/>
      <c r="UUK11" s="31"/>
      <c r="UUL11" s="31"/>
      <c r="UUM11" s="31"/>
      <c r="UUN11" s="31"/>
      <c r="UUO11" s="31"/>
      <c r="UUP11" s="31"/>
      <c r="UUQ11" s="31"/>
      <c r="UUR11" s="31"/>
      <c r="UUS11" s="31"/>
      <c r="UUT11" s="31"/>
      <c r="UUU11" s="31"/>
      <c r="UUV11" s="31"/>
      <c r="UUW11" s="31"/>
      <c r="UUX11" s="31"/>
      <c r="UUY11" s="31"/>
      <c r="UUZ11" s="31"/>
      <c r="UVA11" s="31"/>
      <c r="UVB11" s="31"/>
      <c r="UVC11" s="31"/>
      <c r="UVD11" s="31"/>
      <c r="UVE11" s="31"/>
      <c r="UVF11" s="31"/>
      <c r="UVG11" s="31"/>
      <c r="UVH11" s="31"/>
      <c r="UVI11" s="31"/>
      <c r="UVJ11" s="31"/>
      <c r="UVK11" s="31"/>
      <c r="UVL11" s="31"/>
      <c r="UVM11" s="31"/>
      <c r="UVN11" s="31"/>
      <c r="UVO11" s="31"/>
      <c r="UVP11" s="31"/>
      <c r="UVQ11" s="31"/>
      <c r="UVR11" s="31"/>
      <c r="UVS11" s="31"/>
      <c r="UVT11" s="31"/>
      <c r="UVU11" s="31"/>
      <c r="UVV11" s="31"/>
      <c r="UVW11" s="31"/>
      <c r="UVX11" s="31"/>
      <c r="UVY11" s="31"/>
      <c r="UVZ11" s="31"/>
      <c r="UWA11" s="31"/>
      <c r="UWB11" s="31"/>
      <c r="UWC11" s="31"/>
      <c r="UWD11" s="31"/>
      <c r="UWE11" s="31"/>
      <c r="UWF11" s="31"/>
      <c r="UWG11" s="31"/>
      <c r="UWH11" s="31"/>
      <c r="UWI11" s="31"/>
      <c r="UWJ11" s="31"/>
      <c r="UWK11" s="31"/>
      <c r="UWL11" s="31"/>
      <c r="UWM11" s="31"/>
      <c r="UWN11" s="31"/>
      <c r="UWO11" s="31"/>
      <c r="UWP11" s="31"/>
      <c r="UWQ11" s="31"/>
      <c r="UWR11" s="31"/>
      <c r="UWS11" s="31"/>
      <c r="UWT11" s="31"/>
      <c r="UWU11" s="31"/>
      <c r="UWV11" s="31"/>
      <c r="UWW11" s="31"/>
      <c r="UWX11" s="31"/>
      <c r="UWY11" s="31"/>
      <c r="UWZ11" s="31"/>
      <c r="UXA11" s="31"/>
      <c r="UXB11" s="31"/>
      <c r="UXC11" s="31"/>
      <c r="UXD11" s="31"/>
      <c r="UXE11" s="31"/>
      <c r="UXF11" s="31"/>
      <c r="UXG11" s="31"/>
      <c r="UXH11" s="31"/>
      <c r="UXI11" s="31"/>
      <c r="UXJ11" s="31"/>
      <c r="UXK11" s="31"/>
      <c r="UXL11" s="31"/>
      <c r="UXM11" s="31"/>
      <c r="UXN11" s="31"/>
      <c r="UXO11" s="31"/>
      <c r="UXP11" s="31"/>
      <c r="UXQ11" s="31"/>
      <c r="UXR11" s="31"/>
      <c r="UXS11" s="31"/>
      <c r="UXT11" s="31"/>
      <c r="UXU11" s="31"/>
      <c r="UXV11" s="31"/>
      <c r="UXW11" s="31"/>
      <c r="UXX11" s="31"/>
      <c r="UXY11" s="31"/>
      <c r="UXZ11" s="31"/>
      <c r="UYA11" s="31"/>
      <c r="UYB11" s="31"/>
      <c r="UYC11" s="31"/>
      <c r="UYD11" s="31"/>
      <c r="UYE11" s="31"/>
      <c r="UYF11" s="31"/>
      <c r="UYG11" s="31"/>
      <c r="UYH11" s="31"/>
      <c r="UYI11" s="31"/>
      <c r="UYJ11" s="31"/>
      <c r="UYK11" s="31"/>
      <c r="UYL11" s="31"/>
      <c r="UYM11" s="31"/>
      <c r="UYN11" s="31"/>
      <c r="UYO11" s="31"/>
      <c r="UYP11" s="31"/>
      <c r="UYQ11" s="31"/>
      <c r="UYR11" s="31"/>
      <c r="UYS11" s="31"/>
      <c r="UYT11" s="31"/>
      <c r="UYU11" s="31"/>
      <c r="UYV11" s="31"/>
      <c r="UYW11" s="31"/>
      <c r="UYX11" s="31"/>
      <c r="UYY11" s="31"/>
      <c r="UYZ11" s="31"/>
      <c r="UZA11" s="31"/>
      <c r="UZB11" s="31"/>
      <c r="UZC11" s="31"/>
      <c r="UZD11" s="31"/>
      <c r="UZE11" s="31"/>
      <c r="UZF11" s="31"/>
      <c r="UZG11" s="31"/>
      <c r="UZH11" s="31"/>
      <c r="UZI11" s="31"/>
      <c r="UZJ11" s="31"/>
      <c r="UZK11" s="31"/>
      <c r="UZL11" s="31"/>
      <c r="UZM11" s="31"/>
      <c r="UZN11" s="31"/>
      <c r="UZO11" s="31"/>
      <c r="UZP11" s="31"/>
      <c r="UZQ11" s="31"/>
      <c r="UZR11" s="31"/>
      <c r="UZS11" s="31"/>
      <c r="UZT11" s="31"/>
      <c r="UZU11" s="31"/>
      <c r="UZV11" s="31"/>
      <c r="UZW11" s="31"/>
      <c r="UZX11" s="31"/>
      <c r="UZY11" s="31"/>
      <c r="UZZ11" s="31"/>
      <c r="VAA11" s="31"/>
      <c r="VAB11" s="31"/>
      <c r="VAC11" s="31"/>
      <c r="VAD11" s="31"/>
      <c r="VAE11" s="31"/>
      <c r="VAF11" s="31"/>
      <c r="VAG11" s="31"/>
      <c r="VAH11" s="31"/>
      <c r="VAI11" s="31"/>
      <c r="VAJ11" s="31"/>
      <c r="VAK11" s="31"/>
      <c r="VAL11" s="31"/>
      <c r="VAM11" s="31"/>
      <c r="VAN11" s="31"/>
      <c r="VAO11" s="31"/>
      <c r="VAP11" s="31"/>
      <c r="VAQ11" s="31"/>
      <c r="VAR11" s="31"/>
      <c r="VAS11" s="31"/>
      <c r="VAT11" s="31"/>
      <c r="VAU11" s="31"/>
      <c r="VAV11" s="31"/>
      <c r="VAW11" s="31"/>
      <c r="VAX11" s="31"/>
      <c r="VAY11" s="31"/>
      <c r="VAZ11" s="31"/>
      <c r="VBA11" s="31"/>
      <c r="VBB11" s="31"/>
      <c r="VBC11" s="31"/>
      <c r="VBD11" s="31"/>
      <c r="VBE11" s="31"/>
      <c r="VBF11" s="31"/>
      <c r="VBG11" s="31"/>
      <c r="VBH11" s="31"/>
      <c r="VBI11" s="31"/>
      <c r="VBJ11" s="31"/>
      <c r="VBK11" s="31"/>
      <c r="VBL11" s="31"/>
      <c r="VBM11" s="31"/>
      <c r="VBN11" s="31"/>
      <c r="VBO11" s="31"/>
      <c r="VBP11" s="31"/>
      <c r="VBQ11" s="31"/>
      <c r="VBR11" s="31"/>
      <c r="VBS11" s="31"/>
      <c r="VBT11" s="31"/>
      <c r="VBU11" s="31"/>
      <c r="VBV11" s="31"/>
      <c r="VBW11" s="31"/>
      <c r="VBX11" s="31"/>
      <c r="VBY11" s="31"/>
      <c r="VBZ11" s="31"/>
      <c r="VCA11" s="31"/>
      <c r="VCB11" s="31"/>
      <c r="VCC11" s="31"/>
      <c r="VCD11" s="31"/>
      <c r="VCE11" s="31"/>
      <c r="VCF11" s="31"/>
      <c r="VCG11" s="31"/>
      <c r="VCH11" s="31"/>
      <c r="VCI11" s="31"/>
      <c r="VCJ11" s="31"/>
      <c r="VCK11" s="31"/>
      <c r="VCL11" s="31"/>
      <c r="VCM11" s="31"/>
      <c r="VCN11" s="31"/>
      <c r="VCO11" s="31"/>
      <c r="VCP11" s="31"/>
      <c r="VCQ11" s="31"/>
      <c r="VCR11" s="31"/>
      <c r="VCS11" s="31"/>
      <c r="VCT11" s="31"/>
      <c r="VCU11" s="31"/>
      <c r="VCV11" s="31"/>
      <c r="VCW11" s="31"/>
      <c r="VCX11" s="31"/>
      <c r="VCY11" s="31"/>
      <c r="VCZ11" s="31"/>
      <c r="VDA11" s="31"/>
      <c r="VDB11" s="31"/>
      <c r="VDC11" s="31"/>
      <c r="VDD11" s="31"/>
      <c r="VDE11" s="31"/>
      <c r="VDF11" s="31"/>
      <c r="VDG11" s="31"/>
      <c r="VDH11" s="31"/>
      <c r="VDI11" s="31"/>
      <c r="VDJ11" s="31"/>
      <c r="VDK11" s="31"/>
      <c r="VDL11" s="31"/>
      <c r="VDM11" s="31"/>
      <c r="VDN11" s="31"/>
      <c r="VDO11" s="31"/>
      <c r="VDP11" s="31"/>
      <c r="VDQ11" s="31"/>
      <c r="VDR11" s="31"/>
      <c r="VDS11" s="31"/>
      <c r="VDT11" s="31"/>
      <c r="VDU11" s="31"/>
      <c r="VDV11" s="31"/>
      <c r="VDW11" s="31"/>
      <c r="VDX11" s="31"/>
      <c r="VDY11" s="31"/>
      <c r="VDZ11" s="31"/>
      <c r="VEA11" s="31"/>
      <c r="VEB11" s="31"/>
      <c r="VEC11" s="31"/>
      <c r="VED11" s="31"/>
      <c r="VEE11" s="31"/>
      <c r="VEF11" s="31"/>
      <c r="VEG11" s="31"/>
      <c r="VEH11" s="31"/>
      <c r="VEI11" s="31"/>
      <c r="VEJ11" s="31"/>
      <c r="VEK11" s="31"/>
      <c r="VEL11" s="31"/>
      <c r="VEM11" s="31"/>
      <c r="VEN11" s="31"/>
      <c r="VEO11" s="31"/>
      <c r="VEP11" s="31"/>
      <c r="VEQ11" s="31"/>
      <c r="VER11" s="31"/>
      <c r="VES11" s="31"/>
      <c r="VET11" s="31"/>
      <c r="VEU11" s="31"/>
      <c r="VEV11" s="31"/>
      <c r="VEW11" s="31"/>
      <c r="VEX11" s="31"/>
      <c r="VEY11" s="31"/>
      <c r="VEZ11" s="31"/>
      <c r="VFA11" s="31"/>
      <c r="VFB11" s="31"/>
      <c r="VFC11" s="31"/>
      <c r="VFD11" s="31"/>
      <c r="VFE11" s="31"/>
      <c r="VFF11" s="31"/>
      <c r="VFG11" s="31"/>
      <c r="VFH11" s="31"/>
      <c r="VFI11" s="31"/>
      <c r="VFJ11" s="31"/>
      <c r="VFK11" s="31"/>
      <c r="VFL11" s="31"/>
      <c r="VFM11" s="31"/>
      <c r="VFN11" s="31"/>
      <c r="VFO11" s="31"/>
      <c r="VFP11" s="31"/>
      <c r="VFQ11" s="31"/>
      <c r="VFR11" s="31"/>
      <c r="VFS11" s="31"/>
      <c r="VFT11" s="31"/>
      <c r="VFU11" s="31"/>
      <c r="VFV11" s="31"/>
      <c r="VFW11" s="31"/>
      <c r="VFX11" s="31"/>
      <c r="VFY11" s="31"/>
      <c r="VFZ11" s="31"/>
      <c r="VGA11" s="31"/>
      <c r="VGB11" s="31"/>
      <c r="VGC11" s="31"/>
      <c r="VGD11" s="31"/>
      <c r="VGE11" s="31"/>
      <c r="VGF11" s="31"/>
      <c r="VGG11" s="31"/>
      <c r="VGH11" s="31"/>
      <c r="VGI11" s="31"/>
      <c r="VGJ11" s="31"/>
      <c r="VGK11" s="31"/>
      <c r="VGL11" s="31"/>
      <c r="VGM11" s="31"/>
      <c r="VGN11" s="31"/>
      <c r="VGO11" s="31"/>
      <c r="VGP11" s="31"/>
      <c r="VGQ11" s="31"/>
      <c r="VGR11" s="31"/>
      <c r="VGS11" s="31"/>
      <c r="VGT11" s="31"/>
      <c r="VGU11" s="31"/>
      <c r="VGV11" s="31"/>
      <c r="VGW11" s="31"/>
      <c r="VGX11" s="31"/>
      <c r="VGY11" s="31"/>
      <c r="VGZ11" s="31"/>
      <c r="VHA11" s="31"/>
      <c r="VHB11" s="31"/>
      <c r="VHC11" s="31"/>
      <c r="VHD11" s="31"/>
      <c r="VHE11" s="31"/>
      <c r="VHF11" s="31"/>
      <c r="VHG11" s="31"/>
      <c r="VHH11" s="31"/>
      <c r="VHI11" s="31"/>
      <c r="VHJ11" s="31"/>
      <c r="VHK11" s="31"/>
      <c r="VHL11" s="31"/>
      <c r="VHM11" s="31"/>
      <c r="VHN11" s="31"/>
      <c r="VHO11" s="31"/>
      <c r="VHP11" s="31"/>
      <c r="VHQ11" s="31"/>
      <c r="VHR11" s="31"/>
      <c r="VHS11" s="31"/>
      <c r="VHT11" s="31"/>
      <c r="VHU11" s="31"/>
      <c r="VHV11" s="31"/>
      <c r="VHW11" s="31"/>
      <c r="VHX11" s="31"/>
      <c r="VHY11" s="31"/>
      <c r="VHZ11" s="31"/>
      <c r="VIA11" s="31"/>
      <c r="VIB11" s="31"/>
      <c r="VIC11" s="31"/>
      <c r="VID11" s="31"/>
      <c r="VIE11" s="31"/>
      <c r="VIF11" s="31"/>
      <c r="VIG11" s="31"/>
      <c r="VIH11" s="31"/>
      <c r="VII11" s="31"/>
      <c r="VIJ11" s="31"/>
      <c r="VIK11" s="31"/>
      <c r="VIL11" s="31"/>
      <c r="VIM11" s="31"/>
      <c r="VIN11" s="31"/>
      <c r="VIO11" s="31"/>
      <c r="VIP11" s="31"/>
      <c r="VIQ11" s="31"/>
      <c r="VIR11" s="31"/>
      <c r="VIS11" s="31"/>
      <c r="VIT11" s="31"/>
      <c r="VIU11" s="31"/>
      <c r="VIV11" s="31"/>
      <c r="VIW11" s="31"/>
      <c r="VIX11" s="31"/>
      <c r="VIY11" s="31"/>
      <c r="VIZ11" s="31"/>
      <c r="VJA11" s="31"/>
      <c r="VJB11" s="31"/>
      <c r="VJC11" s="31"/>
      <c r="VJD11" s="31"/>
      <c r="VJE11" s="31"/>
      <c r="VJF11" s="31"/>
      <c r="VJG11" s="31"/>
      <c r="VJH11" s="31"/>
      <c r="VJI11" s="31"/>
      <c r="VJJ11" s="31"/>
      <c r="VJK11" s="31"/>
      <c r="VJL11" s="31"/>
      <c r="VJM11" s="31"/>
      <c r="VJN11" s="31"/>
      <c r="VJO11" s="31"/>
      <c r="VJP11" s="31"/>
      <c r="VJQ11" s="31"/>
      <c r="VJR11" s="31"/>
      <c r="VJS11" s="31"/>
      <c r="VJT11" s="31"/>
      <c r="VJU11" s="31"/>
      <c r="VJV11" s="31"/>
      <c r="VJW11" s="31"/>
      <c r="VJX11" s="31"/>
      <c r="VJY11" s="31"/>
      <c r="VJZ11" s="31"/>
      <c r="VKA11" s="31"/>
      <c r="VKB11" s="31"/>
      <c r="VKC11" s="31"/>
      <c r="VKD11" s="31"/>
      <c r="VKE11" s="31"/>
      <c r="VKF11" s="31"/>
      <c r="VKG11" s="31"/>
      <c r="VKH11" s="31"/>
      <c r="VKI11" s="31"/>
      <c r="VKJ11" s="31"/>
      <c r="VKK11" s="31"/>
      <c r="VKL11" s="31"/>
      <c r="VKM11" s="31"/>
      <c r="VKN11" s="31"/>
      <c r="VKO11" s="31"/>
      <c r="VKP11" s="31"/>
      <c r="VKQ11" s="31"/>
      <c r="VKR11" s="31"/>
      <c r="VKS11" s="31"/>
      <c r="VKT11" s="31"/>
      <c r="VKU11" s="31"/>
      <c r="VKV11" s="31"/>
      <c r="VKW11" s="31"/>
      <c r="VKX11" s="31"/>
      <c r="VKY11" s="31"/>
      <c r="VKZ11" s="31"/>
      <c r="VLA11" s="31"/>
      <c r="VLB11" s="31"/>
      <c r="VLC11" s="31"/>
      <c r="VLD11" s="31"/>
      <c r="VLE11" s="31"/>
      <c r="VLF11" s="31"/>
      <c r="VLG11" s="31"/>
      <c r="VLH11" s="31"/>
      <c r="VLI11" s="31"/>
      <c r="VLJ11" s="31"/>
      <c r="VLK11" s="31"/>
      <c r="VLL11" s="31"/>
      <c r="VLM11" s="31"/>
      <c r="VLN11" s="31"/>
      <c r="VLO11" s="31"/>
      <c r="VLP11" s="31"/>
      <c r="VLQ11" s="31"/>
      <c r="VLR11" s="31"/>
      <c r="VLS11" s="31"/>
      <c r="VLT11" s="31"/>
      <c r="VLU11" s="31"/>
      <c r="VLV11" s="31"/>
      <c r="VLW11" s="31"/>
      <c r="VLX11" s="31"/>
      <c r="VLY11" s="31"/>
      <c r="VLZ11" s="31"/>
      <c r="VMA11" s="31"/>
      <c r="VMB11" s="31"/>
      <c r="VMC11" s="31"/>
      <c r="VMD11" s="31"/>
      <c r="VME11" s="31"/>
      <c r="VMF11" s="31"/>
      <c r="VMG11" s="31"/>
      <c r="VMH11" s="31"/>
      <c r="VMI11" s="31"/>
      <c r="VMJ11" s="31"/>
      <c r="VMK11" s="31"/>
      <c r="VML11" s="31"/>
      <c r="VMM11" s="31"/>
      <c r="VMN11" s="31"/>
      <c r="VMO11" s="31"/>
      <c r="VMP11" s="31"/>
      <c r="VMQ11" s="31"/>
      <c r="VMR11" s="31"/>
      <c r="VMS11" s="31"/>
      <c r="VMT11" s="31"/>
      <c r="VMU11" s="31"/>
      <c r="VMV11" s="31"/>
      <c r="VMW11" s="31"/>
      <c r="VMX11" s="31"/>
      <c r="VMY11" s="31"/>
      <c r="VMZ11" s="31"/>
      <c r="VNA11" s="31"/>
      <c r="VNB11" s="31"/>
      <c r="VNC11" s="31"/>
      <c r="VND11" s="31"/>
      <c r="VNE11" s="31"/>
      <c r="VNF11" s="31"/>
      <c r="VNG11" s="31"/>
      <c r="VNH11" s="31"/>
      <c r="VNI11" s="31"/>
      <c r="VNJ11" s="31"/>
      <c r="VNK11" s="31"/>
      <c r="VNL11" s="31"/>
      <c r="VNM11" s="31"/>
      <c r="VNN11" s="31"/>
      <c r="VNO11" s="31"/>
      <c r="VNP11" s="31"/>
      <c r="VNQ11" s="31"/>
      <c r="VNR11" s="31"/>
      <c r="VNS11" s="31"/>
      <c r="VNT11" s="31"/>
      <c r="VNU11" s="31"/>
      <c r="VNV11" s="31"/>
      <c r="VNW11" s="31"/>
      <c r="VNX11" s="31"/>
      <c r="VNY11" s="31"/>
      <c r="VNZ11" s="31"/>
      <c r="VOA11" s="31"/>
      <c r="VOB11" s="31"/>
      <c r="VOC11" s="31"/>
      <c r="VOD11" s="31"/>
      <c r="VOE11" s="31"/>
      <c r="VOF11" s="31"/>
      <c r="VOG11" s="31"/>
      <c r="VOH11" s="31"/>
      <c r="VOI11" s="31"/>
      <c r="VOJ11" s="31"/>
      <c r="VOK11" s="31"/>
      <c r="VOL11" s="31"/>
      <c r="VOM11" s="31"/>
      <c r="VON11" s="31"/>
      <c r="VOO11" s="31"/>
      <c r="VOP11" s="31"/>
      <c r="VOQ11" s="31"/>
      <c r="VOR11" s="31"/>
      <c r="VOS11" s="31"/>
      <c r="VOT11" s="31"/>
      <c r="VOU11" s="31"/>
      <c r="VOV11" s="31"/>
      <c r="VOW11" s="31"/>
      <c r="VOX11" s="31"/>
      <c r="VOY11" s="31"/>
      <c r="VOZ11" s="31"/>
      <c r="VPA11" s="31"/>
      <c r="VPB11" s="31"/>
      <c r="VPC11" s="31"/>
      <c r="VPD11" s="31"/>
      <c r="VPE11" s="31"/>
      <c r="VPF11" s="31"/>
      <c r="VPG11" s="31"/>
      <c r="VPH11" s="31"/>
      <c r="VPI11" s="31"/>
      <c r="VPJ11" s="31"/>
      <c r="VPK11" s="31"/>
      <c r="VPL11" s="31"/>
      <c r="VPM11" s="31"/>
      <c r="VPN11" s="31"/>
      <c r="VPO11" s="31"/>
      <c r="VPP11" s="31"/>
      <c r="VPQ11" s="31"/>
      <c r="VPR11" s="31"/>
      <c r="VPS11" s="31"/>
      <c r="VPT11" s="31"/>
      <c r="VPU11" s="31"/>
      <c r="VPV11" s="31"/>
      <c r="VPW11" s="31"/>
      <c r="VPX11" s="31"/>
      <c r="VPY11" s="31"/>
      <c r="VPZ11" s="31"/>
      <c r="VQA11" s="31"/>
      <c r="VQB11" s="31"/>
      <c r="VQC11" s="31"/>
      <c r="VQD11" s="31"/>
      <c r="VQE11" s="31"/>
      <c r="VQF11" s="31"/>
      <c r="VQG11" s="31"/>
      <c r="VQH11" s="31"/>
      <c r="VQI11" s="31"/>
      <c r="VQJ11" s="31"/>
      <c r="VQK11" s="31"/>
      <c r="VQL11" s="31"/>
      <c r="VQM11" s="31"/>
      <c r="VQN11" s="31"/>
      <c r="VQO11" s="31"/>
      <c r="VQP11" s="31"/>
      <c r="VQQ11" s="31"/>
      <c r="VQR11" s="31"/>
      <c r="VQS11" s="31"/>
      <c r="VQT11" s="31"/>
      <c r="VQU11" s="31"/>
      <c r="VQV11" s="31"/>
      <c r="VQW11" s="31"/>
      <c r="VQX11" s="31"/>
      <c r="VQY11" s="31"/>
      <c r="VQZ11" s="31"/>
      <c r="VRA11" s="31"/>
      <c r="VRB11" s="31"/>
      <c r="VRC11" s="31"/>
      <c r="VRD11" s="31"/>
      <c r="VRE11" s="31"/>
      <c r="VRF11" s="31"/>
      <c r="VRG11" s="31"/>
      <c r="VRH11" s="31"/>
      <c r="VRI11" s="31"/>
      <c r="VRJ11" s="31"/>
      <c r="VRK11" s="31"/>
      <c r="VRL11" s="31"/>
      <c r="VRM11" s="31"/>
      <c r="VRN11" s="31"/>
      <c r="VRO11" s="31"/>
      <c r="VRP11" s="31"/>
      <c r="VRQ11" s="31"/>
      <c r="VRR11" s="31"/>
      <c r="VRS11" s="31"/>
      <c r="VRT11" s="31"/>
      <c r="VRU11" s="31"/>
      <c r="VRV11" s="31"/>
      <c r="VRW11" s="31"/>
      <c r="VRX11" s="31"/>
      <c r="VRY11" s="31"/>
      <c r="VRZ11" s="31"/>
      <c r="VSA11" s="31"/>
      <c r="VSB11" s="31"/>
      <c r="VSC11" s="31"/>
      <c r="VSD11" s="31"/>
      <c r="VSE11" s="31"/>
      <c r="VSF11" s="31"/>
      <c r="VSG11" s="31"/>
      <c r="VSH11" s="31"/>
      <c r="VSI11" s="31"/>
      <c r="VSJ11" s="31"/>
      <c r="VSK11" s="31"/>
      <c r="VSL11" s="31"/>
      <c r="VSM11" s="31"/>
      <c r="VSN11" s="31"/>
      <c r="VSO11" s="31"/>
      <c r="VSP11" s="31"/>
      <c r="VSQ11" s="31"/>
      <c r="VSR11" s="31"/>
      <c r="VSS11" s="31"/>
      <c r="VST11" s="31"/>
      <c r="VSU11" s="31"/>
      <c r="VSV11" s="31"/>
      <c r="VSW11" s="31"/>
      <c r="VSX11" s="31"/>
      <c r="VSY11" s="31"/>
      <c r="VSZ11" s="31"/>
      <c r="VTA11" s="31"/>
      <c r="VTB11" s="31"/>
      <c r="VTC11" s="31"/>
      <c r="VTD11" s="31"/>
      <c r="VTE11" s="31"/>
      <c r="VTF11" s="31"/>
      <c r="VTG11" s="31"/>
      <c r="VTH11" s="31"/>
      <c r="VTI11" s="31"/>
      <c r="VTJ11" s="31"/>
      <c r="VTK11" s="31"/>
      <c r="VTL11" s="31"/>
      <c r="VTM11" s="31"/>
      <c r="VTN11" s="31"/>
      <c r="VTO11" s="31"/>
      <c r="VTP11" s="31"/>
      <c r="VTQ11" s="31"/>
      <c r="VTR11" s="31"/>
      <c r="VTS11" s="31"/>
      <c r="VTT11" s="31"/>
      <c r="VTU11" s="31"/>
      <c r="VTV11" s="31"/>
      <c r="VTW11" s="31"/>
      <c r="VTX11" s="31"/>
      <c r="VTY11" s="31"/>
      <c r="VTZ11" s="31"/>
      <c r="VUA11" s="31"/>
      <c r="VUB11" s="31"/>
      <c r="VUC11" s="31"/>
      <c r="VUD11" s="31"/>
      <c r="VUE11" s="31"/>
      <c r="VUF11" s="31"/>
      <c r="VUG11" s="31"/>
      <c r="VUH11" s="31"/>
      <c r="VUI11" s="31"/>
      <c r="VUJ11" s="31"/>
      <c r="VUK11" s="31"/>
      <c r="VUL11" s="31"/>
      <c r="VUM11" s="31"/>
      <c r="VUN11" s="31"/>
      <c r="VUO11" s="31"/>
      <c r="VUP11" s="31"/>
      <c r="VUQ11" s="31"/>
      <c r="VUR11" s="31"/>
      <c r="VUS11" s="31"/>
      <c r="VUT11" s="31"/>
      <c r="VUU11" s="31"/>
      <c r="VUV11" s="31"/>
      <c r="VUW11" s="31"/>
      <c r="VUX11" s="31"/>
      <c r="VUY11" s="31"/>
      <c r="VUZ11" s="31"/>
      <c r="VVA11" s="31"/>
      <c r="VVB11" s="31"/>
      <c r="VVC11" s="31"/>
      <c r="VVD11" s="31"/>
      <c r="VVE11" s="31"/>
      <c r="VVF11" s="31"/>
      <c r="VVG11" s="31"/>
      <c r="VVH11" s="31"/>
      <c r="VVI11" s="31"/>
      <c r="VVJ11" s="31"/>
      <c r="VVK11" s="31"/>
      <c r="VVL11" s="31"/>
      <c r="VVM11" s="31"/>
      <c r="VVN11" s="31"/>
      <c r="VVO11" s="31"/>
      <c r="VVP11" s="31"/>
      <c r="VVQ11" s="31"/>
      <c r="VVR11" s="31"/>
      <c r="VVS11" s="31"/>
      <c r="VVT11" s="31"/>
      <c r="VVU11" s="31"/>
      <c r="VVV11" s="31"/>
      <c r="VVW11" s="31"/>
      <c r="VVX11" s="31"/>
      <c r="VVY11" s="31"/>
      <c r="VVZ11" s="31"/>
      <c r="VWA11" s="31"/>
      <c r="VWB11" s="31"/>
      <c r="VWC11" s="31"/>
      <c r="VWD11" s="31"/>
      <c r="VWE11" s="31"/>
      <c r="VWF11" s="31"/>
      <c r="VWG11" s="31"/>
      <c r="VWH11" s="31"/>
      <c r="VWI11" s="31"/>
      <c r="VWJ11" s="31"/>
      <c r="VWK11" s="31"/>
      <c r="VWL11" s="31"/>
      <c r="VWM11" s="31"/>
      <c r="VWN11" s="31"/>
      <c r="VWO11" s="31"/>
      <c r="VWP11" s="31"/>
      <c r="VWQ11" s="31"/>
      <c r="VWR11" s="31"/>
      <c r="VWS11" s="31"/>
      <c r="VWT11" s="31"/>
      <c r="VWU11" s="31"/>
      <c r="VWV11" s="31"/>
      <c r="VWW11" s="31"/>
      <c r="VWX11" s="31"/>
      <c r="VWY11" s="31"/>
      <c r="VWZ11" s="31"/>
      <c r="VXA11" s="31"/>
      <c r="VXB11" s="31"/>
      <c r="VXC11" s="31"/>
      <c r="VXD11" s="31"/>
      <c r="VXE11" s="31"/>
      <c r="VXF11" s="31"/>
      <c r="VXG11" s="31"/>
      <c r="VXH11" s="31"/>
      <c r="VXI11" s="31"/>
      <c r="VXJ11" s="31"/>
      <c r="VXK11" s="31"/>
      <c r="VXL11" s="31"/>
      <c r="VXM11" s="31"/>
      <c r="VXN11" s="31"/>
      <c r="VXO11" s="31"/>
      <c r="VXP11" s="31"/>
      <c r="VXQ11" s="31"/>
      <c r="VXR11" s="31"/>
      <c r="VXS11" s="31"/>
      <c r="VXT11" s="31"/>
      <c r="VXU11" s="31"/>
      <c r="VXV11" s="31"/>
      <c r="VXW11" s="31"/>
      <c r="VXX11" s="31"/>
      <c r="VXY11" s="31"/>
      <c r="VXZ11" s="31"/>
      <c r="VYA11" s="31"/>
      <c r="VYB11" s="31"/>
      <c r="VYC11" s="31"/>
      <c r="VYD11" s="31"/>
      <c r="VYE11" s="31"/>
      <c r="VYF11" s="31"/>
      <c r="VYG11" s="31"/>
      <c r="VYH11" s="31"/>
      <c r="VYI11" s="31"/>
      <c r="VYJ11" s="31"/>
      <c r="VYK11" s="31"/>
      <c r="VYL11" s="31"/>
      <c r="VYM11" s="31"/>
      <c r="VYN11" s="31"/>
      <c r="VYO11" s="31"/>
      <c r="VYP11" s="31"/>
      <c r="VYQ11" s="31"/>
      <c r="VYR11" s="31"/>
      <c r="VYS11" s="31"/>
      <c r="VYT11" s="31"/>
      <c r="VYU11" s="31"/>
      <c r="VYV11" s="31"/>
      <c r="VYW11" s="31"/>
      <c r="VYX11" s="31"/>
      <c r="VYY11" s="31"/>
      <c r="VYZ11" s="31"/>
      <c r="VZA11" s="31"/>
      <c r="VZB11" s="31"/>
      <c r="VZC11" s="31"/>
      <c r="VZD11" s="31"/>
      <c r="VZE11" s="31"/>
      <c r="VZF11" s="31"/>
      <c r="VZG11" s="31"/>
      <c r="VZH11" s="31"/>
      <c r="VZI11" s="31"/>
      <c r="VZJ11" s="31"/>
      <c r="VZK11" s="31"/>
      <c r="VZL11" s="31"/>
      <c r="VZM11" s="31"/>
      <c r="VZN11" s="31"/>
      <c r="VZO11" s="31"/>
      <c r="VZP11" s="31"/>
      <c r="VZQ11" s="31"/>
      <c r="VZR11" s="31"/>
      <c r="VZS11" s="31"/>
      <c r="VZT11" s="31"/>
      <c r="VZU11" s="31"/>
      <c r="VZV11" s="31"/>
      <c r="VZW11" s="31"/>
      <c r="VZX11" s="31"/>
      <c r="VZY11" s="31"/>
      <c r="VZZ11" s="31"/>
      <c r="WAA11" s="31"/>
      <c r="WAB11" s="31"/>
      <c r="WAC11" s="31"/>
      <c r="WAD11" s="31"/>
      <c r="WAE11" s="31"/>
      <c r="WAF11" s="31"/>
      <c r="WAG11" s="31"/>
      <c r="WAH11" s="31"/>
      <c r="WAI11" s="31"/>
      <c r="WAJ11" s="31"/>
      <c r="WAK11" s="31"/>
      <c r="WAL11" s="31"/>
      <c r="WAM11" s="31"/>
      <c r="WAN11" s="31"/>
      <c r="WAO11" s="31"/>
      <c r="WAP11" s="31"/>
      <c r="WAQ11" s="31"/>
      <c r="WAR11" s="31"/>
      <c r="WAS11" s="31"/>
      <c r="WAT11" s="31"/>
      <c r="WAU11" s="31"/>
      <c r="WAV11" s="31"/>
      <c r="WAW11" s="31"/>
      <c r="WAX11" s="31"/>
      <c r="WAY11" s="31"/>
      <c r="WAZ11" s="31"/>
      <c r="WBA11" s="31"/>
      <c r="WBB11" s="31"/>
      <c r="WBC11" s="31"/>
      <c r="WBD11" s="31"/>
      <c r="WBE11" s="31"/>
      <c r="WBF11" s="31"/>
      <c r="WBG11" s="31"/>
      <c r="WBH11" s="31"/>
      <c r="WBI11" s="31"/>
      <c r="WBJ11" s="31"/>
      <c r="WBK11" s="31"/>
      <c r="WBL11" s="31"/>
      <c r="WBM11" s="31"/>
      <c r="WBN11" s="31"/>
      <c r="WBO11" s="31"/>
      <c r="WBP11" s="31"/>
      <c r="WBQ11" s="31"/>
      <c r="WBR11" s="31"/>
      <c r="WBS11" s="31"/>
      <c r="WBT11" s="31"/>
      <c r="WBU11" s="31"/>
      <c r="WBV11" s="31"/>
      <c r="WBW11" s="31"/>
      <c r="WBX11" s="31"/>
      <c r="WBY11" s="31"/>
      <c r="WBZ11" s="31"/>
      <c r="WCA11" s="31"/>
      <c r="WCB11" s="31"/>
      <c r="WCC11" s="31"/>
      <c r="WCD11" s="31"/>
      <c r="WCE11" s="31"/>
      <c r="WCF11" s="31"/>
      <c r="WCG11" s="31"/>
      <c r="WCH11" s="31"/>
      <c r="WCI11" s="31"/>
      <c r="WCJ11" s="31"/>
      <c r="WCK11" s="31"/>
      <c r="WCL11" s="31"/>
      <c r="WCM11" s="31"/>
      <c r="WCN11" s="31"/>
      <c r="WCO11" s="31"/>
      <c r="WCP11" s="31"/>
      <c r="WCQ11" s="31"/>
      <c r="WCR11" s="31"/>
      <c r="WCS11" s="31"/>
      <c r="WCT11" s="31"/>
      <c r="WCU11" s="31"/>
      <c r="WCV11" s="31"/>
      <c r="WCW11" s="31"/>
      <c r="WCX11" s="31"/>
      <c r="WCY11" s="31"/>
      <c r="WCZ11" s="31"/>
      <c r="WDA11" s="31"/>
      <c r="WDB11" s="31"/>
      <c r="WDC11" s="31"/>
      <c r="WDD11" s="31"/>
      <c r="WDE11" s="31"/>
      <c r="WDF11" s="31"/>
      <c r="WDG11" s="31"/>
      <c r="WDH11" s="31"/>
      <c r="WDI11" s="31"/>
      <c r="WDJ11" s="31"/>
      <c r="WDK11" s="31"/>
      <c r="WDL11" s="31"/>
      <c r="WDM11" s="31"/>
      <c r="WDN11" s="31"/>
      <c r="WDO11" s="31"/>
      <c r="WDP11" s="31"/>
      <c r="WDQ11" s="31"/>
      <c r="WDR11" s="31"/>
      <c r="WDS11" s="31"/>
      <c r="WDT11" s="31"/>
      <c r="WDU11" s="31"/>
      <c r="WDV11" s="31"/>
      <c r="WDW11" s="31"/>
      <c r="WDX11" s="31"/>
      <c r="WDY11" s="31"/>
      <c r="WDZ11" s="31"/>
      <c r="WEA11" s="31"/>
      <c r="WEB11" s="31"/>
      <c r="WEC11" s="31"/>
      <c r="WED11" s="31"/>
      <c r="WEE11" s="31"/>
      <c r="WEF11" s="31"/>
      <c r="WEG11" s="31"/>
      <c r="WEH11" s="31"/>
      <c r="WEI11" s="31"/>
      <c r="WEJ11" s="31"/>
      <c r="WEK11" s="31"/>
      <c r="WEL11" s="31"/>
      <c r="WEM11" s="31"/>
      <c r="WEN11" s="31"/>
      <c r="WEO11" s="31"/>
      <c r="WEP11" s="31"/>
      <c r="WEQ11" s="31"/>
      <c r="WER11" s="31"/>
      <c r="WES11" s="31"/>
      <c r="WET11" s="31"/>
      <c r="WEU11" s="31"/>
      <c r="WEV11" s="31"/>
      <c r="WEW11" s="31"/>
      <c r="WEX11" s="31"/>
      <c r="WEY11" s="31"/>
      <c r="WEZ11" s="31"/>
      <c r="WFA11" s="31"/>
      <c r="WFB11" s="31"/>
      <c r="WFC11" s="31"/>
      <c r="WFD11" s="31"/>
      <c r="WFE11" s="31"/>
      <c r="WFF11" s="31"/>
      <c r="WFG11" s="31"/>
      <c r="WFH11" s="31"/>
      <c r="WFI11" s="31"/>
      <c r="WFJ11" s="31"/>
      <c r="WFK11" s="31"/>
      <c r="WFL11" s="31"/>
      <c r="WFM11" s="31"/>
      <c r="WFN11" s="31"/>
      <c r="WFO11" s="31"/>
      <c r="WFP11" s="31"/>
      <c r="WFQ11" s="31"/>
      <c r="WFR11" s="31"/>
      <c r="WFS11" s="31"/>
      <c r="WFT11" s="31"/>
      <c r="WFU11" s="31"/>
      <c r="WFV11" s="31"/>
      <c r="WFW11" s="31"/>
      <c r="WFX11" s="31"/>
      <c r="WFY11" s="31"/>
      <c r="WFZ11" s="31"/>
      <c r="WGA11" s="31"/>
      <c r="WGB11" s="31"/>
      <c r="WGC11" s="31"/>
      <c r="WGD11" s="31"/>
      <c r="WGE11" s="31"/>
      <c r="WGF11" s="31"/>
      <c r="WGG11" s="31"/>
      <c r="WGH11" s="31"/>
      <c r="WGI11" s="31"/>
      <c r="WGJ11" s="31"/>
      <c r="WGK11" s="31"/>
      <c r="WGL11" s="31"/>
      <c r="WGM11" s="31"/>
      <c r="WGN11" s="31"/>
      <c r="WGO11" s="31"/>
      <c r="WGP11" s="31"/>
      <c r="WGQ11" s="31"/>
      <c r="WGR11" s="31"/>
      <c r="WGS11" s="31"/>
      <c r="WGT11" s="31"/>
      <c r="WGU11" s="31"/>
      <c r="WGV11" s="31"/>
      <c r="WGW11" s="31"/>
      <c r="WGX11" s="31"/>
      <c r="WGY11" s="31"/>
      <c r="WGZ11" s="31"/>
      <c r="WHA11" s="31"/>
      <c r="WHB11" s="31"/>
      <c r="WHC11" s="31"/>
      <c r="WHD11" s="31"/>
      <c r="WHE11" s="31"/>
      <c r="WHF11" s="31"/>
      <c r="WHG11" s="31"/>
      <c r="WHH11" s="31"/>
      <c r="WHI11" s="31"/>
      <c r="WHJ11" s="31"/>
      <c r="WHK11" s="31"/>
      <c r="WHL11" s="31"/>
      <c r="WHM11" s="31"/>
      <c r="WHN11" s="31"/>
      <c r="WHO11" s="31"/>
      <c r="WHP11" s="31"/>
      <c r="WHQ11" s="31"/>
      <c r="WHR11" s="31"/>
      <c r="WHS11" s="31"/>
      <c r="WHT11" s="31"/>
      <c r="WHU11" s="31"/>
      <c r="WHV11" s="31"/>
      <c r="WHW11" s="31"/>
      <c r="WHX11" s="31"/>
      <c r="WHY11" s="31"/>
      <c r="WHZ11" s="31"/>
      <c r="WIA11" s="31"/>
      <c r="WIB11" s="31"/>
      <c r="WIC11" s="31"/>
      <c r="WID11" s="31"/>
      <c r="WIE11" s="31"/>
      <c r="WIF11" s="31"/>
      <c r="WIG11" s="31"/>
      <c r="WIH11" s="31"/>
      <c r="WII11" s="31"/>
      <c r="WIJ11" s="31"/>
      <c r="WIK11" s="31"/>
      <c r="WIL11" s="31"/>
      <c r="WIM11" s="31"/>
      <c r="WIN11" s="31"/>
      <c r="WIO11" s="31"/>
      <c r="WIP11" s="31"/>
      <c r="WIQ11" s="31"/>
      <c r="WIR11" s="31"/>
      <c r="WIS11" s="31"/>
      <c r="WIT11" s="31"/>
      <c r="WIU11" s="31"/>
      <c r="WIV11" s="31"/>
      <c r="WIW11" s="31"/>
      <c r="WIX11" s="31"/>
      <c r="WIY11" s="31"/>
      <c r="WIZ11" s="31"/>
      <c r="WJA11" s="31"/>
      <c r="WJB11" s="31"/>
      <c r="WJC11" s="31"/>
      <c r="WJD11" s="31"/>
      <c r="WJE11" s="31"/>
      <c r="WJF11" s="31"/>
      <c r="WJG11" s="31"/>
      <c r="WJH11" s="31"/>
      <c r="WJI11" s="31"/>
      <c r="WJJ11" s="31"/>
      <c r="WJK11" s="31"/>
      <c r="WJL11" s="31"/>
      <c r="WJM11" s="31"/>
      <c r="WJN11" s="31"/>
      <c r="WJO11" s="31"/>
      <c r="WJP11" s="31"/>
      <c r="WJQ11" s="31"/>
      <c r="WJR11" s="31"/>
      <c r="WJS11" s="31"/>
      <c r="WJT11" s="31"/>
      <c r="WJU11" s="31"/>
      <c r="WJV11" s="31"/>
      <c r="WJW11" s="31"/>
      <c r="WJX11" s="31"/>
      <c r="WJY11" s="31"/>
      <c r="WJZ11" s="31"/>
      <c r="WKA11" s="31"/>
      <c r="WKB11" s="31"/>
      <c r="WKC11" s="31"/>
      <c r="WKD11" s="31"/>
      <c r="WKE11" s="31"/>
      <c r="WKF11" s="31"/>
      <c r="WKG11" s="31"/>
      <c r="WKH11" s="31"/>
      <c r="WKI11" s="31"/>
      <c r="WKJ11" s="31"/>
      <c r="WKK11" s="31"/>
      <c r="WKL11" s="31"/>
      <c r="WKM11" s="31"/>
      <c r="WKN11" s="31"/>
      <c r="WKO11" s="31"/>
      <c r="WKP11" s="31"/>
      <c r="WKQ11" s="31"/>
      <c r="WKR11" s="31"/>
      <c r="WKS11" s="31"/>
      <c r="WKT11" s="31"/>
      <c r="WKU11" s="31"/>
      <c r="WKV11" s="31"/>
      <c r="WKW11" s="31"/>
      <c r="WKX11" s="31"/>
      <c r="WKY11" s="31"/>
      <c r="WKZ11" s="31"/>
      <c r="WLA11" s="31"/>
      <c r="WLB11" s="31"/>
      <c r="WLC11" s="31"/>
      <c r="WLD11" s="31"/>
      <c r="WLE11" s="31"/>
      <c r="WLF11" s="31"/>
      <c r="WLG11" s="31"/>
      <c r="WLH11" s="31"/>
      <c r="WLI11" s="31"/>
      <c r="WLJ11" s="31"/>
      <c r="WLK11" s="31"/>
      <c r="WLL11" s="31"/>
      <c r="WLM11" s="31"/>
      <c r="WLN11" s="31"/>
      <c r="WLO11" s="31"/>
      <c r="WLP11" s="31"/>
      <c r="WLQ11" s="31"/>
      <c r="WLR11" s="31"/>
      <c r="WLS11" s="31"/>
      <c r="WLT11" s="31"/>
      <c r="WLU11" s="31"/>
      <c r="WLV11" s="31"/>
      <c r="WLW11" s="31"/>
      <c r="WLX11" s="31"/>
      <c r="WLY11" s="31"/>
      <c r="WLZ11" s="31"/>
      <c r="WMA11" s="31"/>
      <c r="WMB11" s="31"/>
      <c r="WMC11" s="31"/>
      <c r="WMD11" s="31"/>
      <c r="WME11" s="31"/>
      <c r="WMF11" s="31"/>
      <c r="WMG11" s="31"/>
      <c r="WMH11" s="31"/>
      <c r="WMI11" s="31"/>
      <c r="WMJ11" s="31"/>
      <c r="WMK11" s="31"/>
      <c r="WML11" s="31"/>
      <c r="WMM11" s="31"/>
      <c r="WMN11" s="31"/>
      <c r="WMO11" s="31"/>
      <c r="WMP11" s="31"/>
      <c r="WMQ11" s="31"/>
      <c r="WMR11" s="31"/>
      <c r="WMS11" s="31"/>
      <c r="WMT11" s="31"/>
      <c r="WMU11" s="31"/>
      <c r="WMV11" s="31"/>
      <c r="WMW11" s="31"/>
      <c r="WMX11" s="31"/>
      <c r="WMY11" s="31"/>
      <c r="WMZ11" s="31"/>
      <c r="WNA11" s="31"/>
      <c r="WNB11" s="31"/>
      <c r="WNC11" s="31"/>
      <c r="WND11" s="31"/>
      <c r="WNE11" s="31"/>
      <c r="WNF11" s="31"/>
      <c r="WNG11" s="31"/>
      <c r="WNH11" s="31"/>
      <c r="WNI11" s="31"/>
      <c r="WNJ11" s="31"/>
      <c r="WNK11" s="31"/>
      <c r="WNL11" s="31"/>
      <c r="WNM11" s="31"/>
      <c r="WNN11" s="31"/>
      <c r="WNO11" s="31"/>
      <c r="WNP11" s="31"/>
      <c r="WNQ11" s="31"/>
      <c r="WNR11" s="31"/>
      <c r="WNS11" s="31"/>
      <c r="WNT11" s="31"/>
      <c r="WNU11" s="31"/>
      <c r="WNV11" s="31"/>
      <c r="WNW11" s="31"/>
      <c r="WNX11" s="31"/>
      <c r="WNY11" s="31"/>
      <c r="WNZ11" s="31"/>
      <c r="WOA11" s="31"/>
      <c r="WOB11" s="31"/>
      <c r="WOC11" s="31"/>
      <c r="WOD11" s="31"/>
      <c r="WOE11" s="31"/>
      <c r="WOF11" s="31"/>
      <c r="WOG11" s="31"/>
      <c r="WOH11" s="31"/>
      <c r="WOI11" s="31"/>
      <c r="WOJ11" s="31"/>
      <c r="WOK11" s="31"/>
      <c r="WOL11" s="31"/>
      <c r="WOM11" s="31"/>
      <c r="WON11" s="31"/>
      <c r="WOO11" s="31"/>
      <c r="WOP11" s="31"/>
      <c r="WOQ11" s="31"/>
      <c r="WOR11" s="31"/>
      <c r="WOS11" s="31"/>
      <c r="WOT11" s="31"/>
      <c r="WOU11" s="31"/>
      <c r="WOV11" s="31"/>
      <c r="WOW11" s="31"/>
      <c r="WOX11" s="31"/>
      <c r="WOY11" s="31"/>
      <c r="WOZ11" s="31"/>
      <c r="WPA11" s="31"/>
      <c r="WPB11" s="31"/>
      <c r="WPC11" s="31"/>
      <c r="WPD11" s="31"/>
      <c r="WPE11" s="31"/>
      <c r="WPF11" s="31"/>
      <c r="WPG11" s="31"/>
      <c r="WPH11" s="31"/>
      <c r="WPI11" s="31"/>
      <c r="WPJ11" s="31"/>
      <c r="WPK11" s="31"/>
      <c r="WPL11" s="31"/>
      <c r="WPM11" s="31"/>
      <c r="WPN11" s="31"/>
      <c r="WPO11" s="31"/>
      <c r="WPP11" s="31"/>
      <c r="WPQ11" s="31"/>
      <c r="WPR11" s="31"/>
      <c r="WPS11" s="31"/>
      <c r="WPT11" s="31"/>
      <c r="WPU11" s="31"/>
      <c r="WPV11" s="31"/>
      <c r="WPW11" s="31"/>
      <c r="WPX11" s="31"/>
      <c r="WPY11" s="31"/>
      <c r="WPZ11" s="31"/>
      <c r="WQA11" s="31"/>
      <c r="WQB11" s="31"/>
      <c r="WQC11" s="31"/>
      <c r="WQD11" s="31"/>
      <c r="WQE11" s="31"/>
      <c r="WQF11" s="31"/>
      <c r="WQG11" s="31"/>
      <c r="WQH11" s="31"/>
      <c r="WQI11" s="31"/>
      <c r="WQJ11" s="31"/>
      <c r="WQK11" s="31"/>
      <c r="WQL11" s="31"/>
      <c r="WQM11" s="31"/>
      <c r="WQN11" s="31"/>
      <c r="WQO11" s="31"/>
      <c r="WQP11" s="31"/>
      <c r="WQQ11" s="31"/>
      <c r="WQR11" s="31"/>
      <c r="WQS11" s="31"/>
      <c r="WQT11" s="31"/>
      <c r="WQU11" s="31"/>
      <c r="WQV11" s="31"/>
      <c r="WQW11" s="31"/>
      <c r="WQX11" s="31"/>
      <c r="WQY11" s="31"/>
      <c r="WQZ11" s="31"/>
      <c r="WRA11" s="31"/>
      <c r="WRB11" s="31"/>
      <c r="WRC11" s="31"/>
      <c r="WRD11" s="31"/>
      <c r="WRE11" s="31"/>
      <c r="WRF11" s="31"/>
      <c r="WRG11" s="31"/>
      <c r="WRH11" s="31"/>
      <c r="WRI11" s="31"/>
      <c r="WRJ11" s="31"/>
      <c r="WRK11" s="31"/>
      <c r="WRL11" s="31"/>
      <c r="WRM11" s="31"/>
      <c r="WRN11" s="31"/>
      <c r="WRO11" s="31"/>
      <c r="WRP11" s="31"/>
      <c r="WRQ11" s="31"/>
      <c r="WRR11" s="31"/>
      <c r="WRS11" s="31"/>
      <c r="WRT11" s="31"/>
      <c r="WRU11" s="31"/>
      <c r="WRV11" s="31"/>
      <c r="WRW11" s="31"/>
      <c r="WRX11" s="31"/>
      <c r="WRY11" s="31"/>
      <c r="WRZ11" s="31"/>
      <c r="WSA11" s="31"/>
      <c r="WSB11" s="31"/>
      <c r="WSC11" s="31"/>
      <c r="WSD11" s="31"/>
      <c r="WSE11" s="31"/>
      <c r="WSF11" s="31"/>
      <c r="WSG11" s="31"/>
      <c r="WSH11" s="31"/>
      <c r="WSI11" s="31"/>
      <c r="WSJ11" s="31"/>
      <c r="WSK11" s="31"/>
      <c r="WSL11" s="31"/>
      <c r="WSM11" s="31"/>
      <c r="WSN11" s="31"/>
      <c r="WSO11" s="31"/>
      <c r="WSP11" s="31"/>
      <c r="WSQ11" s="31"/>
      <c r="WSR11" s="31"/>
      <c r="WSS11" s="31"/>
      <c r="WST11" s="31"/>
      <c r="WSU11" s="31"/>
      <c r="WSV11" s="31"/>
      <c r="WSW11" s="31"/>
      <c r="WSX11" s="31"/>
      <c r="WSY11" s="31"/>
      <c r="WSZ11" s="31"/>
      <c r="WTA11" s="31"/>
      <c r="WTB11" s="31"/>
      <c r="WTC11" s="31"/>
      <c r="WTD11" s="31"/>
      <c r="WTE11" s="31"/>
      <c r="WTF11" s="31"/>
      <c r="WTG11" s="31"/>
      <c r="WTH11" s="31"/>
      <c r="WTI11" s="31"/>
      <c r="WTJ11" s="31"/>
      <c r="WTK11" s="31"/>
      <c r="WTL11" s="31"/>
      <c r="WTM11" s="31"/>
      <c r="WTN11" s="31"/>
      <c r="WTO11" s="31"/>
      <c r="WTP11" s="31"/>
      <c r="WTQ11" s="31"/>
      <c r="WTR11" s="31"/>
      <c r="WTS11" s="31"/>
      <c r="WTT11" s="31"/>
      <c r="WTU11" s="31"/>
      <c r="WTV11" s="31"/>
      <c r="WTW11" s="31"/>
      <c r="WTX11" s="31"/>
      <c r="WTY11" s="31"/>
      <c r="WTZ11" s="31"/>
      <c r="WUA11" s="31"/>
      <c r="WUB11" s="31"/>
      <c r="WUC11" s="31"/>
      <c r="WUD11" s="31"/>
      <c r="WUE11" s="31"/>
      <c r="WUF11" s="31"/>
      <c r="WUG11" s="31"/>
      <c r="WUH11" s="31"/>
      <c r="WUI11" s="31"/>
      <c r="WUJ11" s="31"/>
      <c r="WUK11" s="31"/>
      <c r="WUL11" s="31"/>
      <c r="WUM11" s="31"/>
      <c r="WUN11" s="31"/>
      <c r="WUO11" s="31"/>
      <c r="WUP11" s="31"/>
      <c r="WUQ11" s="31"/>
      <c r="WUR11" s="31"/>
      <c r="WUS11" s="31"/>
      <c r="WUT11" s="31"/>
      <c r="WUU11" s="31"/>
      <c r="WUV11" s="31"/>
      <c r="WUW11" s="31"/>
      <c r="WUX11" s="31"/>
      <c r="WUY11" s="31"/>
      <c r="WUZ11" s="31"/>
      <c r="WVA11" s="31"/>
      <c r="WVB11" s="31"/>
      <c r="WVC11" s="31"/>
      <c r="WVD11" s="31"/>
      <c r="WVE11" s="31"/>
      <c r="WVF11" s="31"/>
      <c r="WVG11" s="31"/>
      <c r="WVH11" s="31"/>
    </row>
    <row r="12" spans="1:16128" ht="21.75" customHeight="1" x14ac:dyDescent="0.3">
      <c r="A12" s="6" t="s">
        <v>64</v>
      </c>
      <c r="B12" s="11" t="s">
        <v>65</v>
      </c>
      <c r="C12" s="11" t="s">
        <v>66</v>
      </c>
      <c r="D12" s="6" t="s">
        <v>67</v>
      </c>
      <c r="E12" s="6" t="s">
        <v>68</v>
      </c>
      <c r="F12" s="6" t="s">
        <v>69</v>
      </c>
      <c r="G12" s="6" t="s">
        <v>70</v>
      </c>
      <c r="H12" s="6" t="s">
        <v>71</v>
      </c>
      <c r="I12" s="6" t="s">
        <v>72</v>
      </c>
      <c r="J12" s="6" t="s">
        <v>73</v>
      </c>
      <c r="K12" s="6" t="s">
        <v>74</v>
      </c>
      <c r="L12" s="6" t="s">
        <v>75</v>
      </c>
      <c r="M12" s="6" t="s">
        <v>76</v>
      </c>
      <c r="N12" s="6" t="s">
        <v>77</v>
      </c>
      <c r="O12" s="15" t="s">
        <v>78</v>
      </c>
      <c r="P12" s="15" t="s">
        <v>79</v>
      </c>
      <c r="Q12" s="15" t="s">
        <v>80</v>
      </c>
      <c r="R12" s="15" t="s">
        <v>81</v>
      </c>
      <c r="S12" s="15" t="s">
        <v>82</v>
      </c>
      <c r="T12" s="15" t="s">
        <v>83</v>
      </c>
      <c r="U12" s="22" t="s">
        <v>84</v>
      </c>
      <c r="V12" s="15" t="s">
        <v>85</v>
      </c>
      <c r="W12" s="15" t="s">
        <v>86</v>
      </c>
      <c r="X12" s="15" t="s">
        <v>87</v>
      </c>
      <c r="Y12" s="15" t="s">
        <v>88</v>
      </c>
      <c r="Z12" s="22" t="s">
        <v>89</v>
      </c>
      <c r="AA12" s="22" t="s">
        <v>90</v>
      </c>
      <c r="AB12" s="15" t="s">
        <v>91</v>
      </c>
      <c r="AC12" s="15" t="s">
        <v>92</v>
      </c>
      <c r="AD12" s="18" t="e">
        <f t="shared" si="0"/>
        <v>#VALUE!</v>
      </c>
      <c r="AE12" s="3" t="s">
        <v>97</v>
      </c>
    </row>
    <row r="15" spans="1:16128" ht="21.9" customHeight="1" x14ac:dyDescent="0.3">
      <c r="B15" s="14"/>
      <c r="C15" s="6" t="s">
        <v>10</v>
      </c>
      <c r="D15" s="12" t="s">
        <v>24</v>
      </c>
    </row>
    <row r="16" spans="1:16128" ht="21.9" customHeight="1" x14ac:dyDescent="0.3">
      <c r="B16" s="14"/>
      <c r="C16" s="1" t="s">
        <v>14</v>
      </c>
      <c r="D16" s="12" t="s">
        <v>25</v>
      </c>
    </row>
    <row r="17" spans="2:4" ht="21.9" customHeight="1" x14ac:dyDescent="0.3">
      <c r="B17" s="14"/>
      <c r="C17" s="1" t="s">
        <v>6</v>
      </c>
      <c r="D17" s="12" t="s">
        <v>26</v>
      </c>
    </row>
    <row r="18" spans="2:4" ht="21.9" customHeight="1" x14ac:dyDescent="0.3">
      <c r="B18" s="14"/>
      <c r="C18" s="1" t="s">
        <v>11</v>
      </c>
      <c r="D18" s="12" t="s">
        <v>27</v>
      </c>
    </row>
    <row r="19" spans="2:4" ht="21.9" customHeight="1" x14ac:dyDescent="0.3">
      <c r="B19" s="14"/>
      <c r="C19" s="1" t="s">
        <v>19</v>
      </c>
      <c r="D19" s="12" t="s">
        <v>28</v>
      </c>
    </row>
    <row r="20" spans="2:4" ht="21.9" customHeight="1" x14ac:dyDescent="0.3">
      <c r="B20" s="14"/>
      <c r="C20" s="1" t="s">
        <v>8</v>
      </c>
      <c r="D20" s="12" t="s">
        <v>29</v>
      </c>
    </row>
    <row r="21" spans="2:4" ht="21.9" customHeight="1" x14ac:dyDescent="0.3">
      <c r="B21" s="14"/>
      <c r="C21" s="1" t="s">
        <v>7</v>
      </c>
      <c r="D21" s="12" t="s">
        <v>30</v>
      </c>
    </row>
    <row r="22" spans="2:4" ht="21.9" customHeight="1" x14ac:dyDescent="0.3">
      <c r="B22" s="14"/>
      <c r="C22" s="1" t="s">
        <v>10</v>
      </c>
      <c r="D22" s="12" t="s">
        <v>24</v>
      </c>
    </row>
    <row r="23" spans="2:4" ht="21.9" customHeight="1" x14ac:dyDescent="0.3">
      <c r="B23" s="14"/>
      <c r="C23" s="1" t="s">
        <v>17</v>
      </c>
      <c r="D23" s="12" t="s">
        <v>36</v>
      </c>
    </row>
    <row r="24" spans="2:4" ht="21.9" customHeight="1" x14ac:dyDescent="0.3">
      <c r="B24" s="14"/>
      <c r="C24" s="1" t="s">
        <v>18</v>
      </c>
      <c r="D24" s="12" t="s">
        <v>57</v>
      </c>
    </row>
    <row r="25" spans="2:4" ht="21.9" customHeight="1" x14ac:dyDescent="0.3">
      <c r="B25" s="14"/>
      <c r="C25" s="1" t="s">
        <v>12</v>
      </c>
      <c r="D25" s="12" t="s">
        <v>31</v>
      </c>
    </row>
    <row r="26" spans="2:4" ht="21.9" customHeight="1" x14ac:dyDescent="0.3">
      <c r="B26" s="14"/>
      <c r="C26" s="1" t="s">
        <v>13</v>
      </c>
      <c r="D26" s="12" t="s">
        <v>32</v>
      </c>
    </row>
    <row r="27" spans="2:4" ht="21.9" customHeight="1" x14ac:dyDescent="0.3">
      <c r="B27" s="14"/>
      <c r="C27" s="1" t="s">
        <v>20</v>
      </c>
      <c r="D27" s="12" t="s">
        <v>33</v>
      </c>
    </row>
    <row r="28" spans="2:4" ht="21.9" customHeight="1" x14ac:dyDescent="0.3">
      <c r="B28" s="14"/>
      <c r="C28" s="1" t="s">
        <v>15</v>
      </c>
      <c r="D28" s="12" t="s">
        <v>34</v>
      </c>
    </row>
    <row r="29" spans="2:4" ht="21.9" customHeight="1" x14ac:dyDescent="0.3">
      <c r="B29" s="14"/>
      <c r="C29" s="7" t="s">
        <v>16</v>
      </c>
      <c r="D29" s="12" t="s">
        <v>35</v>
      </c>
    </row>
  </sheetData>
  <sortState xmlns:xlrd2="http://schemas.microsoft.com/office/spreadsheetml/2017/richdata2" ref="A7:WVH12">
    <sortCondition ref="A7:A12"/>
  </sortState>
  <mergeCells count="18">
    <mergeCell ref="AF2:AF4"/>
    <mergeCell ref="O2:AD2"/>
    <mergeCell ref="AD3:AD4"/>
    <mergeCell ref="AE2:AE4"/>
    <mergeCell ref="D2:D4"/>
    <mergeCell ref="F2:F4"/>
    <mergeCell ref="G2:J2"/>
    <mergeCell ref="K2:N2"/>
    <mergeCell ref="G3:G4"/>
    <mergeCell ref="H3:H4"/>
    <mergeCell ref="K3:K4"/>
    <mergeCell ref="L3:L4"/>
    <mergeCell ref="M3:N3"/>
    <mergeCell ref="A2:A4"/>
    <mergeCell ref="C2:C4"/>
    <mergeCell ref="E2:E4"/>
    <mergeCell ref="I3:J3"/>
    <mergeCell ref="B2:B4"/>
  </mergeCells>
  <conditionalFormatting sqref="B7:C7 B9:C9 B11:C12">
    <cfRule type="duplicateValues" dxfId="1" priority="171" stopIfTrue="1"/>
  </conditionalFormatting>
  <conditionalFormatting sqref="C7 C9 C11:C12">
    <cfRule type="duplicateValues" dxfId="0" priority="174"/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Trước hạn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Văn Biền</cp:lastModifiedBy>
  <dcterms:created xsi:type="dcterms:W3CDTF">2024-09-25T03:14:33Z</dcterms:created>
  <dcterms:modified xsi:type="dcterms:W3CDTF">2024-12-11T05:04:02Z</dcterms:modified>
</cp:coreProperties>
</file>